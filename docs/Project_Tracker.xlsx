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492" documentId="8_{C9C18196-394D-4E08-AEE3-4532190AC77C}" xr6:coauthVersionLast="47" xr6:coauthVersionMax="47" xr10:uidLastSave="{E2B390FA-AB78-46FA-B695-B818AF2BA5DB}"/>
  <bookViews>
    <workbookView xWindow="-108" yWindow="-108" windowWidth="23256" windowHeight="12456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B24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<sst xmlns="http://schemas.openxmlformats.org/spreadsheetml/2006/main" count="995" uniqueCount="420">
  <si>
    <t>LINGUALLEARN AI - PROJECT TRACKER</t>
  </si>
  <si>
    <t>Project Name:</t>
  </si>
  <si>
    <t>LinguaLearn AI</t>
  </si>
  <si>
    <t>Project Type:</t>
  </si>
  <si>
    <t>Duration:</t>
  </si>
  <si>
    <t>Start Date:</t>
  </si>
  <si>
    <t>Week 1 Complete</t>
  </si>
  <si>
    <t>Current Phase:</t>
  </si>
  <si>
    <t>Overall Status:</t>
  </si>
  <si>
    <t>Tech Stack: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</si>
  <si>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</si>
  <si>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</si>
  <si>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</si>
  <si>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</si>
  <si>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</si>
  <si>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</si>
  <si>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</si>
  <si>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</si>
  <si>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</si>
  <si>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</si>
  <si>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</si>
  <si>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</si>
  <si>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</si>
  <si>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VPC, RDS, Security Groups deployed</t>
  </si>
  <si>
    <t>API &amp; Compute Layer</t>
  </si>
  <si>
    <t>Week 2 Day 1</t>
  </si>
  <si>
    <t>Week 2 Day 5</t>
  </si>
  <si>
    <t>Multi-Modal Tracking &amp; Video</t>
  </si>
  <si>
    <t>Not Started</t>
  </si>
  <si>
    <t>Week 3 Day 1</t>
  </si>
  <si>
    <t>Week 3 Day 5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</si>
  <si>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</si>
  <si>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</si>
  <si>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</si>
  <si>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</si>
  <si>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</si>
  <si>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</si>
  <si>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</si>
  <si>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</si>
  <si>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</si>
  <si>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</si>
  <si>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</si>
  <si>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Completed:</t>
  </si>
  <si>
    <t>In Progress:</t>
  </si>
  <si>
    <t>1 (1%)</t>
  </si>
  <si>
    <t>Blocked:</t>
  </si>
  <si>
    <t>0 (0%)</t>
  </si>
  <si>
    <t>Not Started:</t>
  </si>
  <si>
    <t>Current Week Hours:</t>
  </si>
  <si>
    <t>8 / 15</t>
  </si>
  <si>
    <t>Total Hours Logged: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</si>
  <si>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</si>
  <si>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</si>
  <si>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</si>
  <si>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</si>
  <si>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</si>
  <si>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</si>
  <si>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</si>
  <si>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</si>
  <si>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</si>
  <si>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</si>
  <si>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</si>
  <si>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</si>
  <si>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</si>
  <si>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</si>
  <si>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AC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</si>
  <si>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</si>
  <si>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</si>
  <si>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</si>
  <si>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</si>
  <si>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</si>
  <si>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</si>
  <si>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</si>
  <si>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</si>
  <si>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</si>
  <si>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</si>
  <si>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</si>
  <si>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</si>
  <si>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</si>
  <si>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</si>
  <si>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</si>
  <si>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</si>
  <si>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</si>
  <si>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</si>
  <si>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</si>
  <si>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</si>
  <si>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</si>
  <si>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</si>
  <si>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</si>
  <si>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</si>
  <si>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</si>
  <si>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</si>
  <si>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</si>
  <si>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</si>
  <si>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</si>
  <si>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</si>
  <si>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</si>
  <si>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</si>
  <si>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</si>
  <si>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</si>
  <si>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</si>
  <si>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</si>
  <si>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</si>
  <si>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</si>
  <si>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</si>
  <si>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</si>
  <si>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</si>
  <si>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</si>
  <si>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</si>
  <si>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</si>
  <si>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</si>
  <si>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</si>
  <si>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</si>
  <si>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</si>
  <si>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Git sync issue</t>
  </si>
  <si>
    <t>Remove nested repo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</si>
  <si>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</si>
  <si>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</si>
  <si>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</si>
  <si>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</si>
  <si>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</si>
  <si>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</si>
  <si>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</si>
  <si>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</si>
  <si>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</si>
  <si>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</si>
  <si>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</si>
  <si>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</si>
  <si>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</si>
  <si>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</si>
  <si>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</si>
  <si>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</si>
  <si>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</si>
  <si>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</si>
  <si>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</si>
  <si>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</si>
  <si>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</si>
  <si>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</si>
  <si>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</si>
  <si>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</si>
  <si>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</si>
  <si>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</si>
  <si>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</si>
  <si>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</si>
  <si>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</si>
  <si>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</si>
  <si>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</si>
  <si>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</si>
  <si>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</si>
  <si>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</si>
  <si>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</si>
  <si>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</si>
  <si>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</si>
  <si>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</si>
  <si>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</si>
  <si>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</si>
  <si>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</si>
  <si>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</si>
  <si>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</si>
  <si>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</si>
  <si>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</si>
  <si>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</si>
  <si>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</si>
  <si>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</si>
  <si>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</si>
  <si>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</si>
  <si>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</si>
  <si>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</si>
  <si>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</si>
  <si>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</si>
  <si>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</si>
  <si>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</si>
  <si>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</si>
  <si>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</si>
  <si>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</si>
  <si>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</si>
  <si>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</si>
  <si>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</si>
  <si>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</si>
  <si>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</si>
  <si>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</si>
  <si>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</si>
  <si>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</si>
  <si>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</si>
  <si>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</si>
  <si>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</si>
  <si>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</si>
  <si>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</si>
  <si>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</si>
  <si>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</si>
  <si>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</si>
  <si>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</si>
  <si>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</si>
  <si>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</si>
  <si>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</si>
  <si>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</si>
  <si>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</si>
  <si>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</si>
  <si>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</si>
  <si>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</si>
  <si>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</si>
  <si>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</si>
  <si>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</si>
  <si>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</si>
  <si>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</si>
  <si>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</si>
  <si>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</si>
  <si>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</si>
  <si>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</si>
  <si>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</si>
  <si>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</si>
  <si>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</si>
  <si>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</si>
  <si>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</si>
  <si>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</si>
  <si>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P4-T014</t>
  </si>
  <si>
    <t>P4-T015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</si>
  <si>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</si>
  <si>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</si>
  <si>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</si>
  <si>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</si>
  <si>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</si>
  <si>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</si>
  <si>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</si>
  <si>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</si>
  <si>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</si>
  <si>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</si>
  <si>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</si>
  <si>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</si>
  <si>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</si>
  <si>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</si>
  <si>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</si>
  <si>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</si>
  <si>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</si>
  <si>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</si>
  <si>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</si>
  <si>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</si>
  <si>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</si>
  <si>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</si>
  <si>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</si>
  <si>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</si>
  <si>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</si>
  <si>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</si>
  <si>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</si>
  <si>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</si>
  <si>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</si>
  <si>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</si>
  <si>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</si>
  <si>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</si>
  <si>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</si>
  <si>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</si>
  <si>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</si>
  <si>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</si>
  <si>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</si>
  <si>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</si>
  <si>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</si>
  <si>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</si>
  <si>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</si>
  <si>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</si>
  <si>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</si>
  <si>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</si>
  <si>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</si>
  <si>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</si>
  <si>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</si>
  <si>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</si>
  <si>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</si>
  <si>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</si>
  <si>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</si>
  <si>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</si>
  <si>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</si>
  <si>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</si>
  <si>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</si>
  <si>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</si>
  <si>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</si>
  <si>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</si>
  <si>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</si>
  <si>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</si>
  <si>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</si>
  <si>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</si>
  <si>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</si>
  <si>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</si>
  <si>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</si>
  <si>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</si>
  <si>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</si>
  <si>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</si>
  <si>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</si>
  <si>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</si>
  <si>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</si>
  <si>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</si>
  <si>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</si>
  <si>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</si>
  <si>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</si>
  <si>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</si>
  <si>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</si>
  <si>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</si>
  <si>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</si>
  <si>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</si>
  <si>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</si>
  <si>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</si>
  <si>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</si>
  <si>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</si>
  <si>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</si>
  <si>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</si>
  <si>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</si>
  <si>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</si>
  <si>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</si>
  <si>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</si>
  <si>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</si>
  <si>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</si>
  <si>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</si>
  <si>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</si>
  <si>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</si>
  <si>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</si>
  <si>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</si>
  <si>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</si>
  <si>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</si>
  <si>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B002</t>
  </si>
  <si>
    <t>Git repository sync - nested repo conflict</t>
  </si>
  <si>
    <t>Resolved</t>
  </si>
  <si>
    <t>1. Backed up terraform files
2. Removed nested .git
3. Moved terraform to root
4. Resolved merge conflicts
5. Force pushed</t>
  </si>
  <si>
    <t>PROJECT CHANGE LOG</t>
  </si>
  <si>
    <t>Date</t>
  </si>
  <si>
    <t>Changed By</t>
  </si>
  <si>
    <t>Phase/Task</t>
  </si>
  <si>
    <t>Change Type</t>
  </si>
  <si>
    <t>Blocker Added</t>
  </si>
  <si>
    <t>SSM connectivity issue - requires VPC endpoints + SSM Agent installation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</si>
  <si>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</si>
  <si>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</si>
  <si>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</si>
  <si>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</si>
  <si>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</si>
  <si>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</si>
  <si>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</si>
  <si>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</si>
  <si>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</si>
  <si>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</si>
  <si>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</si>
  <si>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</si>
  <si>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</si>
  <si>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</si>
  <si>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</si>
  <si>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</si>
  <si>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</si>
  <si>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</si>
  <si>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</si>
  <si>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</si>
  <si>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</si>
  <si>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</si>
  <si>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</si>
  <si>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</si>
  <si>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</si>
  <si>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</si>
  <si>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</si>
  <si>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</si>
  <si>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</si>
  <si>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</si>
  <si>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</si>
  <si>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</si>
  <si>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</si>
  <si>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</si>
  <si>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</si>
  <si>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</si>
  <si>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</si>
  <si>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</si>
  <si>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</si>
  <si>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</si>
  <si>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</si>
  <si>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</si>
  <si>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</si>
  <si>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</si>
  <si>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SSM connectivity issue, Git sync issue</t>
  </si>
  <si>
    <t>Phase 1</t>
  </si>
  <si>
    <t>Phase Complete</t>
  </si>
  <si>
    <t>Infrastructure Foundation complete - 100%</t>
  </si>
  <si>
    <t>Git sync issue- nested repo + restructured folders</t>
  </si>
  <si>
    <t>AWS (VPC, EC2, RDS, Lambda, S3, CloudFront, ALB, CloudWatch, Secrets Manager), Terraform, Python, FastAPI, PostgreSQL</t>
  </si>
  <si>
    <t>Later enhancement</t>
  </si>
  <si>
    <t>Create Lambda Handler for Video Metadata</t>
  </si>
  <si>
    <t>Create Lambda Infrastructure in Terraform</t>
  </si>
  <si>
    <t>Package and Deploy Lambda Function</t>
  </si>
  <si>
    <t>Test Lambda with S3 Upload</t>
  </si>
  <si>
    <t>Verify S3 Event Triggers</t>
  </si>
  <si>
    <t>P3-T021</t>
  </si>
  <si>
    <t>P3-T022</t>
  </si>
  <si>
    <t>P3-T023</t>
  </si>
  <si>
    <t>P3-T024</t>
  </si>
  <si>
    <t>P3-T025</t>
  </si>
  <si>
    <t>Authentication error</t>
  </si>
  <si>
    <t>Reset Secret</t>
  </si>
  <si>
    <t>Future Demos</t>
  </si>
  <si>
    <t>Furture Demos</t>
  </si>
  <si>
    <t>Later Enhancement items</t>
  </si>
  <si>
    <t>Delayed 2 weeks</t>
  </si>
  <si>
    <t>8 Weeks (90-120 hours total)</t>
  </si>
  <si>
    <t>Phase 3</t>
  </si>
  <si>
    <t>API &amp; compute layer complete - 100%</t>
  </si>
  <si>
    <t>Multi-Modal Activity Tracking complete - 97%</t>
  </si>
  <si>
    <t>AWS Resource size limit</t>
  </si>
  <si>
    <t>Lambda Layers to separate dependencies</t>
  </si>
  <si>
    <t>Lambda size limit - optimization</t>
  </si>
  <si>
    <t>Resolved a few errors</t>
  </si>
  <si>
    <t>No AnkiDeck integration</t>
  </si>
  <si>
    <t>Manual Curated vocabulary</t>
  </si>
  <si>
    <t>Phase 4</t>
  </si>
  <si>
    <t>Task Set</t>
  </si>
  <si>
    <t>AnkiDeck API Integration to Seeded Vocabulary</t>
  </si>
  <si>
    <t>Create Vocubulary Seed Files</t>
  </si>
  <si>
    <t>Create Vocabulary Seeding Script</t>
  </si>
  <si>
    <t>Seed Vocabulary Database &amp; Verify Data Integrity</t>
  </si>
  <si>
    <t>UTF-8 encoding challenges</t>
  </si>
  <si>
    <t>Cancelled - pivot from AnkiDeck API</t>
  </si>
  <si>
    <t>UTC-8 Encoding</t>
  </si>
  <si>
    <t>B003</t>
  </si>
  <si>
    <t>1. Upload files to S3
2. SSM into EC2
3. Dowload files</t>
  </si>
  <si>
    <t>91.5 / 120</t>
  </si>
  <si>
    <t>53 (40%)</t>
  </si>
  <si>
    <t>80 (58%)</t>
  </si>
  <si>
    <t>Phase 5 - Monitoring</t>
  </si>
  <si>
    <t>MLOps Engineer Portfolio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</si>
</sst>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rgb="FFFFEB9C"/>
      </patternFill>
    </fill>
    <fill>
      <patternFill patternType="solid">
        <fgColor rgb="FFC6EFCE"/>
        <bgColor rgb="FFF2F2F2"/>
      </patternFill>
    </fill>
    <fill>
      <patternFill patternType="solid">
        <fgColor rgb="FFFFEB9C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5" fillId="8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8" fillId="6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right" vertical="top" wrapText="1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14" fontId="11" fillId="0" borderId="1" xfId="0" applyNumberFormat="1" applyFont="1" applyBorder="1" applyAlignment="1">
      <alignment vertical="top"/>
    </xf>
    <xf numFmtId="0" fontId="10" fillId="10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0" fillId="11" borderId="0" xfId="0" applyFill="1"/>
    <xf numFmtId="0" fontId="5" fillId="11" borderId="1" xfId="0" applyFont="1" applyFill="1" applyBorder="1" applyAlignment="1">
      <alignment horizontal="center" vertical="center"/>
    </xf>
    <xf numFmtId="0" fontId="0" fillId="12" borderId="0" xfId="0" applyFill="1"/>
    <xf numFmtId="0" fontId="5" fillId="12" borderId="1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left"/>
    </xf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left" vertical="center" wrapText="1"/>
    </xf>
    <xf numFmtId="0" fontId="11" fillId="0" borderId="0" xfId="0" applyFont="1" applyBorder="1" applyAlignment="1">
      <alignment vertical="top"/>
    </xf>
    <xf numFmtId="0" fontId="0" fillId="0" borderId="1" xfId="0" applyBorder="1" applyAlignment="1">
      <alignment vertical="top"/>
    </xf>
    <xf numFmtId="14" fontId="0" fillId="0" borderId="1" xfId="0" applyNumberFormat="1" applyBorder="1" applyAlignment="1">
      <alignment vertical="top"/>
    </xf>
    <xf numFmtId="0" fontId="11" fillId="0" borderId="3" xfId="0" applyFont="1" applyBorder="1" applyAlignment="1">
      <alignment vertical="top" wrapText="1"/>
    </xf>
    <xf numFmtId="0" fontId="0" fillId="13" borderId="1" xfId="0" applyFill="1" applyBorder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24"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</dxfs>
  <tableStyles count="0" defaultTableStyle="TableStyleMedium9" defaultPivotStyle="PivotStyleLight16"/>
  <colors>
    <mruColors>
      <color rgb="FFC6EFCE"/>
      <color rgb="FFFFEB9C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topLeftCell="A14" workbookViewId="0">
      <selection activeCell="C19" sqref="C19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35" t="s">
        <v>0</v>
      </c>
      <c r="B1" s="34"/>
      <c r="C1" s="34"/>
      <c r="D1" s="34"/>
      <c r="E1" s="34"/>
      <c r="F1" s="34"/>
      <c r="G1" s="34"/>
      <c r="H1" s="34"/>
    </row>
    <row r="3" spans="1:8" x14ac:dyDescent="0.3">
      <c r="A3" s="1" t="s">
        <v>1</v>
      </c>
      <c r="B3" s="34" t="s">
        <v>2</v>
      </c>
      <c r="C3" s="34"/>
      <c r="D3" s="34"/>
      <c r="E3" s="34"/>
      <c r="F3" s="34"/>
      <c r="G3" s="34"/>
      <c r="H3" s="34"/>
    </row>
    <row r="4" spans="1:8" x14ac:dyDescent="0.3">
      <c r="A4" s="1" t="s">
        <v>3</v>
      </c>
      <c r="B4" s="34" t="s">
        <v>419</v>
      </c>
      <c r="C4" s="34"/>
      <c r="D4" s="34"/>
      <c r="E4" s="34"/>
      <c r="F4" s="34"/>
      <c r="G4" s="34"/>
      <c r="H4" s="34"/>
    </row>
    <row r="5" spans="1:8" x14ac:dyDescent="0.3">
      <c r="A5" s="1" t="s">
        <v>4</v>
      </c>
      <c r="B5" s="34" t="s">
        <v>394</v>
      </c>
      <c r="C5" s="34"/>
      <c r="D5" s="34"/>
      <c r="E5" s="34"/>
      <c r="F5" s="34"/>
      <c r="G5" s="34"/>
      <c r="H5" s="34"/>
    </row>
    <row r="6" spans="1:8" x14ac:dyDescent="0.3">
      <c r="A6" s="1" t="s">
        <v>5</v>
      </c>
      <c r="B6" s="34" t="s">
        <v>6</v>
      </c>
      <c r="C6" s="34"/>
      <c r="D6" s="34"/>
      <c r="E6" s="34"/>
      <c r="F6" s="34"/>
      <c r="G6" s="34"/>
      <c r="H6" s="34"/>
    </row>
    <row r="7" spans="1:8" x14ac:dyDescent="0.3">
      <c r="A7" s="1" t="s">
        <v>7</v>
      </c>
      <c r="B7" s="34" t="s">
        <v>418</v>
      </c>
      <c r="C7" s="34"/>
      <c r="D7" s="34"/>
      <c r="E7" s="34"/>
      <c r="F7" s="34"/>
      <c r="G7" s="34"/>
      <c r="H7" s="34"/>
    </row>
    <row r="8" spans="1:8" x14ac:dyDescent="0.3">
      <c r="A8" s="1" t="s">
        <v>8</v>
      </c>
      <c r="B8" s="34" t="s">
        <v>393</v>
      </c>
      <c r="C8" s="34"/>
      <c r="D8" s="34"/>
      <c r="E8" s="34"/>
      <c r="F8" s="34"/>
      <c r="G8" s="34"/>
      <c r="H8" s="34"/>
    </row>
    <row r="9" spans="1:8" x14ac:dyDescent="0.3">
      <c r="A9" s="1"/>
    </row>
    <row r="10" spans="1:8" x14ac:dyDescent="0.3">
      <c r="A10" s="1" t="s">
        <v>9</v>
      </c>
      <c r="B10" s="34" t="s">
        <v>376</v>
      </c>
      <c r="C10" s="34"/>
      <c r="D10" s="34"/>
      <c r="E10" s="34"/>
      <c r="F10" s="34"/>
      <c r="G10" s="34"/>
      <c r="H10" s="34"/>
    </row>
    <row r="13" spans="1:8" ht="15.6" customHeight="1" x14ac:dyDescent="0.3">
      <c r="A13" s="33" t="s">
        <v>10</v>
      </c>
      <c r="B13" s="34"/>
      <c r="C13" s="34"/>
      <c r="D13" s="34"/>
      <c r="E13" s="34"/>
      <c r="F13" s="34"/>
      <c r="G13" s="34"/>
      <c r="H13" s="34"/>
    </row>
    <row r="14" spans="1:8" ht="28.8" customHeight="1" x14ac:dyDescent="0.3">
      <c r="A14" s="3" t="s">
        <v>11</v>
      </c>
      <c r="B14" s="3" t="s">
        <v>12</v>
      </c>
      <c r="C14" s="3" t="s">
        <v>13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18</v>
      </c>
    </row>
    <row r="15" spans="1:8" x14ac:dyDescent="0.3">
      <c r="A15" s="4">
        <v>1</v>
      </c>
      <c r="B15" s="5" t="s">
        <v>19</v>
      </c>
      <c r="C15" s="6" t="s">
        <v>20</v>
      </c>
      <c r="D15" s="4" t="s">
        <v>21</v>
      </c>
      <c r="E15" s="4" t="s">
        <v>22</v>
      </c>
      <c r="F15" s="16">
        <f>IFERROR(COUNTIF('Phase 1 - Infrastructure'!E5:E100,"Complete")/COUNTA('Phase 1 - Infrastructure'!A5:A100),0)</f>
        <v>1</v>
      </c>
      <c r="G15" s="4">
        <f>COUNTIF('Phase 1 - Infrastructure'!E:E,"Blocked")</f>
        <v>0</v>
      </c>
      <c r="H15" s="4" t="s">
        <v>23</v>
      </c>
    </row>
    <row r="16" spans="1:8" x14ac:dyDescent="0.3">
      <c r="A16" s="4">
        <v>2</v>
      </c>
      <c r="B16" s="5" t="s">
        <v>24</v>
      </c>
      <c r="C16" s="27" t="s">
        <v>20</v>
      </c>
      <c r="D16" s="4" t="s">
        <v>25</v>
      </c>
      <c r="E16" s="4" t="s">
        <v>26</v>
      </c>
      <c r="F16" s="16">
        <f>IFERROR(COUNTIF('Phase 2 - API &amp; Compute'!E5:E100,"Complete")/COUNTA('Phase 2 - API &amp; Compute'!A5:A100),0)</f>
        <v>1</v>
      </c>
      <c r="G16" s="4">
        <f>COUNTIF('Phase 2 - API &amp; Compute'!E:E,"Blocked")</f>
        <v>0</v>
      </c>
      <c r="H16" s="4" t="s">
        <v>371</v>
      </c>
    </row>
    <row r="17" spans="1:8" x14ac:dyDescent="0.3">
      <c r="A17" s="4">
        <v>3</v>
      </c>
      <c r="B17" s="5" t="s">
        <v>27</v>
      </c>
      <c r="C17" s="29" t="s">
        <v>20</v>
      </c>
      <c r="D17" s="4" t="s">
        <v>29</v>
      </c>
      <c r="E17" s="4" t="s">
        <v>30</v>
      </c>
      <c r="F17" s="16">
        <f>IFERROR(COUNTIF('Phase 3 - Multi-Modal'!E5:E105,"Complete")/COUNTA('Phase 3 - Multi-Modal'!A5:A105),0)</f>
        <v>1</v>
      </c>
      <c r="G17" s="4">
        <f>COUNTIF('Phase 3 - Multi-Modal'!E:E,"Blocked")</f>
        <v>0</v>
      </c>
      <c r="H17" s="4" t="s">
        <v>392</v>
      </c>
    </row>
    <row r="18" spans="1:8" x14ac:dyDescent="0.3">
      <c r="A18" s="4">
        <v>4</v>
      </c>
      <c r="B18" s="5" t="s">
        <v>31</v>
      </c>
      <c r="C18" s="29" t="s">
        <v>20</v>
      </c>
      <c r="D18" s="4" t="s">
        <v>32</v>
      </c>
      <c r="E18" s="4" t="s">
        <v>33</v>
      </c>
      <c r="F18" s="16">
        <f>IFERROR(COUNTIF('Phase 4 - ML Integration'!E5:E100,"Complete")/COUNTA('Phase 4 - ML Integration'!A5:A100),0)</f>
        <v>1</v>
      </c>
      <c r="G18" s="4">
        <f>COUNTIF('Phase 4 - ML Integration'!E:E,"Blocked")</f>
        <v>0</v>
      </c>
      <c r="H18" s="4" t="s">
        <v>400</v>
      </c>
    </row>
    <row r="19" spans="1:8" x14ac:dyDescent="0.3">
      <c r="A19" s="4">
        <v>5</v>
      </c>
      <c r="B19" s="5" t="s">
        <v>34</v>
      </c>
      <c r="C19" s="7" t="s">
        <v>28</v>
      </c>
      <c r="D19" s="4" t="s">
        <v>35</v>
      </c>
      <c r="E19" s="4" t="s">
        <v>36</v>
      </c>
      <c r="F19" s="16">
        <f>IFERROR(COUNTIF('Phase 5 - Monitoring'!E5:E100,"Complete")/COUNTA('Phase 5 - Monitoring'!A5:A100),0)</f>
        <v>0</v>
      </c>
      <c r="G19" s="4">
        <f>COUNTIF('Phase 5 - Monitoring'!E:E,"Blocked")</f>
        <v>0</v>
      </c>
      <c r="H19" s="4"/>
    </row>
    <row r="20" spans="1:8" x14ac:dyDescent="0.3">
      <c r="A20" s="4">
        <v>6</v>
      </c>
      <c r="B20" s="5" t="s">
        <v>37</v>
      </c>
      <c r="C20" s="7" t="s">
        <v>28</v>
      </c>
      <c r="D20" s="4" t="s">
        <v>38</v>
      </c>
      <c r="E20" s="4" t="s">
        <v>39</v>
      </c>
      <c r="F20" s="16">
        <f>IFERROR(COUNTIF('Phase 6 - CICD'!E5:E100,"Complete")/COUNTA('Phase 6 - CICD'!A5:A100),0)</f>
        <v>0</v>
      </c>
      <c r="G20" s="4">
        <f>COUNTIF('Phase 6 - CICD'!E:E,"Blocked")</f>
        <v>0</v>
      </c>
      <c r="H20" s="4"/>
    </row>
    <row r="23" spans="1:8" ht="15.6" customHeight="1" x14ac:dyDescent="0.3">
      <c r="A23" s="2" t="s">
        <v>40</v>
      </c>
    </row>
    <row r="24" spans="1:8" x14ac:dyDescent="0.3">
      <c r="A24" s="1" t="s">
        <v>41</v>
      </c>
      <c r="B24">
        <f>COUNTA('Phase 1 - Infrastructure'!A:A)+COUNTA('Phase 2 - API &amp; Compute'!A:A)+COUNTA('Phase 3 - Multi-Modal'!A:A)+COUNTA('Phase 4 - ML Integration'!A:A)+COUNTA('Phase 5 - Monitoring'!A:A)+COUNTA('Phase 6 - CICD'!A:A)</f>
        <v>137</v>
      </c>
    </row>
    <row r="25" spans="1:8" x14ac:dyDescent="0.3">
      <c r="A25" s="1" t="s">
        <v>42</v>
      </c>
      <c r="B25" t="s">
        <v>417</v>
      </c>
    </row>
    <row r="26" spans="1:8" x14ac:dyDescent="0.3">
      <c r="A26" s="1" t="s">
        <v>43</v>
      </c>
      <c r="B26" t="s">
        <v>44</v>
      </c>
    </row>
    <row r="27" spans="1:8" x14ac:dyDescent="0.3">
      <c r="A27" s="1" t="s">
        <v>45</v>
      </c>
      <c r="B27" t="s">
        <v>46</v>
      </c>
    </row>
    <row r="28" spans="1:8" x14ac:dyDescent="0.3">
      <c r="A28" s="1" t="s">
        <v>47</v>
      </c>
      <c r="B28" t="s">
        <v>416</v>
      </c>
    </row>
    <row r="29" spans="1:8" x14ac:dyDescent="0.3">
      <c r="A29" s="8"/>
    </row>
    <row r="30" spans="1:8" x14ac:dyDescent="0.3">
      <c r="A30" s="1" t="s">
        <v>48</v>
      </c>
      <c r="B30" t="s">
        <v>49</v>
      </c>
    </row>
    <row r="31" spans="1:8" x14ac:dyDescent="0.3">
      <c r="A31" s="1" t="s">
        <v>50</v>
      </c>
      <c r="B31" t="s">
        <v>415</v>
      </c>
    </row>
    <row r="32" spans="1:8" x14ac:dyDescent="0.3">
      <c r="A32" s="1" t="s">
        <v>51</v>
      </c>
      <c r="B32" t="s">
        <v>39</v>
      </c>
    </row>
  </sheetData>
  <mergeCells count="9">
    <mergeCell ref="A13:H13"/>
    <mergeCell ref="B10:H10"/>
    <mergeCell ref="A1:H1"/>
    <mergeCell ref="B7:H7"/>
    <mergeCell ref="B3:H3"/>
    <mergeCell ref="B5:H5"/>
    <mergeCell ref="B8:H8"/>
    <mergeCell ref="B4:H4"/>
    <mergeCell ref="B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0" sqref="E20"/>
    </sheetView>
  </sheetViews>
  <sheetFormatPr defaultRowHeight="14.4" x14ac:dyDescent="0.3"/>
  <cols>
    <col min="1" max="1" width="10" customWidth="1"/>
    <col min="2" max="2" width="8.554687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6" t="s">
        <v>52</v>
      </c>
      <c r="B1" s="34"/>
      <c r="C1" s="34"/>
      <c r="D1" s="34"/>
      <c r="E1" s="34"/>
      <c r="F1" s="34"/>
      <c r="G1" s="34"/>
      <c r="H1" s="34"/>
      <c r="I1" s="34"/>
      <c r="J1" s="34"/>
    </row>
    <row r="2" spans="1:10" x14ac:dyDescent="0.3">
      <c r="A2" t="s">
        <v>53</v>
      </c>
      <c r="B2" s="9" t="s">
        <v>20</v>
      </c>
    </row>
    <row r="4" spans="1:10" x14ac:dyDescent="0.3">
      <c r="A4" s="3" t="s">
        <v>54</v>
      </c>
      <c r="B4" s="3" t="s">
        <v>55</v>
      </c>
      <c r="C4" s="3" t="s">
        <v>56</v>
      </c>
      <c r="D4" s="3" t="s">
        <v>57</v>
      </c>
      <c r="E4" s="3" t="s">
        <v>13</v>
      </c>
      <c r="F4" s="3" t="s">
        <v>58</v>
      </c>
      <c r="G4" s="3" t="s">
        <v>59</v>
      </c>
      <c r="H4" s="3" t="s">
        <v>60</v>
      </c>
      <c r="I4" s="3" t="s">
        <v>61</v>
      </c>
      <c r="J4" s="3" t="s">
        <v>18</v>
      </c>
    </row>
    <row r="5" spans="1:10" x14ac:dyDescent="0.3">
      <c r="A5" s="10" t="s">
        <v>62</v>
      </c>
      <c r="B5" s="10" t="s">
        <v>63</v>
      </c>
      <c r="C5" s="10" t="s">
        <v>64</v>
      </c>
      <c r="D5" s="14" t="s">
        <v>65</v>
      </c>
      <c r="E5" s="6" t="s">
        <v>20</v>
      </c>
      <c r="F5" s="11" t="s">
        <v>66</v>
      </c>
      <c r="G5" s="10">
        <v>0.5</v>
      </c>
      <c r="H5" s="10">
        <v>0.5</v>
      </c>
      <c r="I5" s="10"/>
      <c r="J5" s="10"/>
    </row>
    <row r="6" spans="1:10" x14ac:dyDescent="0.3">
      <c r="A6" s="10" t="s">
        <v>67</v>
      </c>
      <c r="B6" s="10" t="s">
        <v>63</v>
      </c>
      <c r="C6" s="10" t="s">
        <v>68</v>
      </c>
      <c r="D6" s="14" t="s">
        <v>65</v>
      </c>
      <c r="E6" s="6" t="s">
        <v>20</v>
      </c>
      <c r="F6" s="11" t="s">
        <v>66</v>
      </c>
      <c r="G6" s="10">
        <v>0.5</v>
      </c>
      <c r="H6" s="10">
        <v>0.5</v>
      </c>
      <c r="I6" s="10"/>
      <c r="J6" s="10"/>
    </row>
    <row r="7" spans="1:10" x14ac:dyDescent="0.3">
      <c r="A7" s="10" t="s">
        <v>69</v>
      </c>
      <c r="B7" s="10" t="s">
        <v>63</v>
      </c>
      <c r="C7" s="10" t="s">
        <v>70</v>
      </c>
      <c r="D7" s="14" t="s">
        <v>65</v>
      </c>
      <c r="E7" s="6" t="s">
        <v>20</v>
      </c>
      <c r="F7" s="11" t="s">
        <v>66</v>
      </c>
      <c r="G7" s="10">
        <v>0.5</v>
      </c>
      <c r="H7" s="10">
        <v>0.5</v>
      </c>
      <c r="I7" s="10"/>
      <c r="J7" s="10"/>
    </row>
    <row r="8" spans="1:10" x14ac:dyDescent="0.3">
      <c r="A8" s="10" t="s">
        <v>71</v>
      </c>
      <c r="B8" s="10" t="s">
        <v>63</v>
      </c>
      <c r="C8" s="10" t="s">
        <v>72</v>
      </c>
      <c r="D8" s="14" t="s">
        <v>65</v>
      </c>
      <c r="E8" s="6" t="s">
        <v>20</v>
      </c>
      <c r="F8" s="11" t="s">
        <v>66</v>
      </c>
      <c r="G8" s="10">
        <v>1</v>
      </c>
      <c r="H8" s="10">
        <v>1</v>
      </c>
      <c r="I8" s="10"/>
      <c r="J8" s="10"/>
    </row>
    <row r="9" spans="1:10" x14ac:dyDescent="0.3">
      <c r="A9" s="10" t="s">
        <v>73</v>
      </c>
      <c r="B9" s="10" t="s">
        <v>74</v>
      </c>
      <c r="C9" s="10" t="s">
        <v>75</v>
      </c>
      <c r="D9" s="14" t="s">
        <v>65</v>
      </c>
      <c r="E9" s="6" t="s">
        <v>20</v>
      </c>
      <c r="F9" s="11" t="s">
        <v>66</v>
      </c>
      <c r="G9" s="10">
        <v>2</v>
      </c>
      <c r="H9" s="10">
        <v>2.5</v>
      </c>
      <c r="I9" s="10"/>
      <c r="J9" s="10" t="s">
        <v>76</v>
      </c>
    </row>
    <row r="10" spans="1:10" x14ac:dyDescent="0.3">
      <c r="A10" s="10" t="s">
        <v>77</v>
      </c>
      <c r="B10" s="10" t="s">
        <v>74</v>
      </c>
      <c r="C10" s="10" t="s">
        <v>78</v>
      </c>
      <c r="D10" s="14" t="s">
        <v>65</v>
      </c>
      <c r="E10" s="6" t="s">
        <v>20</v>
      </c>
      <c r="F10" s="11" t="s">
        <v>66</v>
      </c>
      <c r="G10" s="10">
        <v>1</v>
      </c>
      <c r="H10" s="10">
        <v>1</v>
      </c>
      <c r="I10" s="10"/>
      <c r="J10" s="10"/>
    </row>
    <row r="11" spans="1:10" x14ac:dyDescent="0.3">
      <c r="A11" s="10" t="s">
        <v>79</v>
      </c>
      <c r="B11" s="10" t="s">
        <v>74</v>
      </c>
      <c r="C11" s="10" t="s">
        <v>80</v>
      </c>
      <c r="D11" s="14" t="s">
        <v>65</v>
      </c>
      <c r="E11" s="6" t="s">
        <v>20</v>
      </c>
      <c r="F11" s="11" t="s">
        <v>66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81</v>
      </c>
      <c r="B12" s="10" t="s">
        <v>82</v>
      </c>
      <c r="C12" s="10" t="s">
        <v>83</v>
      </c>
      <c r="D12" s="14" t="s">
        <v>65</v>
      </c>
      <c r="E12" s="6" t="s">
        <v>20</v>
      </c>
      <c r="F12" s="11" t="s">
        <v>66</v>
      </c>
      <c r="G12" s="10">
        <v>2</v>
      </c>
      <c r="H12" s="10">
        <v>2</v>
      </c>
      <c r="I12" s="10"/>
      <c r="J12" s="10" t="s">
        <v>84</v>
      </c>
    </row>
    <row r="13" spans="1:10" x14ac:dyDescent="0.3">
      <c r="A13" s="10" t="s">
        <v>85</v>
      </c>
      <c r="B13" s="10" t="s">
        <v>86</v>
      </c>
      <c r="C13" s="10" t="s">
        <v>87</v>
      </c>
      <c r="D13" s="14" t="s">
        <v>65</v>
      </c>
      <c r="E13" s="6" t="s">
        <v>20</v>
      </c>
      <c r="F13" s="11" t="s">
        <v>66</v>
      </c>
      <c r="G13" s="10">
        <v>1.5</v>
      </c>
      <c r="H13" s="10">
        <v>2</v>
      </c>
      <c r="I13" s="10"/>
      <c r="J13" s="10"/>
    </row>
    <row r="14" spans="1:10" x14ac:dyDescent="0.3">
      <c r="A14" s="10" t="s">
        <v>88</v>
      </c>
      <c r="B14" s="10" t="s">
        <v>86</v>
      </c>
      <c r="C14" s="10" t="s">
        <v>89</v>
      </c>
      <c r="D14" s="14" t="s">
        <v>65</v>
      </c>
      <c r="E14" s="6" t="s">
        <v>20</v>
      </c>
      <c r="F14" s="11" t="s">
        <v>66</v>
      </c>
      <c r="G14" s="10">
        <v>0.5</v>
      </c>
      <c r="H14" s="10">
        <v>0.5</v>
      </c>
      <c r="I14" s="10"/>
      <c r="J14" s="10"/>
    </row>
    <row r="15" spans="1:10" x14ac:dyDescent="0.3">
      <c r="A15" s="10" t="s">
        <v>90</v>
      </c>
      <c r="B15" s="10" t="s">
        <v>91</v>
      </c>
      <c r="C15" s="10" t="s">
        <v>92</v>
      </c>
      <c r="D15" s="14" t="s">
        <v>65</v>
      </c>
      <c r="E15" s="6" t="s">
        <v>20</v>
      </c>
      <c r="F15" s="4" t="s">
        <v>93</v>
      </c>
      <c r="G15" s="10">
        <v>1</v>
      </c>
      <c r="H15" s="10">
        <v>1</v>
      </c>
      <c r="I15" s="10"/>
      <c r="J15" s="10"/>
    </row>
    <row r="16" spans="1:10" x14ac:dyDescent="0.3">
      <c r="A16" s="10" t="s">
        <v>94</v>
      </c>
      <c r="B16" s="10" t="s">
        <v>91</v>
      </c>
      <c r="C16" s="10" t="s">
        <v>95</v>
      </c>
      <c r="D16" s="14" t="s">
        <v>65</v>
      </c>
      <c r="E16" s="6" t="s">
        <v>20</v>
      </c>
      <c r="F16" s="4" t="s">
        <v>93</v>
      </c>
      <c r="G16" s="10">
        <v>0.5</v>
      </c>
      <c r="H16" s="10">
        <v>0.5</v>
      </c>
      <c r="I16" s="10"/>
      <c r="J16" s="10"/>
    </row>
    <row r="17" spans="1:10" x14ac:dyDescent="0.3">
      <c r="A17" s="10" t="s">
        <v>96</v>
      </c>
      <c r="B17" s="10" t="s">
        <v>91</v>
      </c>
      <c r="C17" s="10" t="s">
        <v>97</v>
      </c>
      <c r="D17" s="14" t="s">
        <v>65</v>
      </c>
      <c r="E17" s="6" t="s">
        <v>20</v>
      </c>
      <c r="F17" s="11" t="s">
        <v>66</v>
      </c>
      <c r="G17" s="10">
        <v>2</v>
      </c>
      <c r="H17" s="10">
        <v>2</v>
      </c>
      <c r="I17" s="10"/>
      <c r="J17" s="10"/>
    </row>
    <row r="18" spans="1:10" x14ac:dyDescent="0.3">
      <c r="A18" s="10" t="s">
        <v>98</v>
      </c>
      <c r="B18" s="10" t="s">
        <v>91</v>
      </c>
      <c r="C18" s="10" t="s">
        <v>99</v>
      </c>
      <c r="D18" s="14" t="s">
        <v>65</v>
      </c>
      <c r="E18" s="6" t="s">
        <v>20</v>
      </c>
      <c r="F18" s="4" t="s">
        <v>100</v>
      </c>
      <c r="G18" s="10">
        <v>0.5</v>
      </c>
      <c r="H18" s="10">
        <v>0.5</v>
      </c>
      <c r="I18" s="10"/>
      <c r="J18" s="10"/>
    </row>
  </sheetData>
  <mergeCells count="1">
    <mergeCell ref="A1:J1"/>
  </mergeCells>
  <conditionalFormatting sqref="E5:E100">
    <cfRule type="cellIs" dxfId="23" priority="1" operator="equal">
      <formula>"Complete"</formula>
    </cfRule>
    <cfRule type="cellIs" dxfId="22" priority="2" operator="equal">
      <formula>"In Progress"</formula>
    </cfRule>
    <cfRule type="cellIs" dxfId="21" priority="3" operator="equal">
      <formula>"Blocked"</formula>
    </cfRule>
    <cfRule type="cellIs" dxfId="2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pane ySplit="4" topLeftCell="A8" activePane="bottomLeft" state="frozen"/>
      <selection pane="bottomLeft" activeCell="G28" sqref="G28"/>
    </sheetView>
  </sheetViews>
  <sheetFormatPr defaultRowHeight="14.4" x14ac:dyDescent="0.3"/>
  <cols>
    <col min="1" max="1" width="10" customWidth="1"/>
    <col min="2" max="2" width="9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6" t="s">
        <v>101</v>
      </c>
      <c r="B1" s="34"/>
      <c r="C1" s="34"/>
      <c r="D1" s="34"/>
      <c r="E1" s="34"/>
      <c r="F1" s="34"/>
      <c r="G1" s="34"/>
      <c r="H1" s="34"/>
      <c r="I1" s="34"/>
      <c r="J1" s="34"/>
    </row>
    <row r="2" spans="1:10" x14ac:dyDescent="0.3">
      <c r="A2" t="s">
        <v>53</v>
      </c>
      <c r="B2" s="26" t="s">
        <v>20</v>
      </c>
    </row>
    <row r="4" spans="1:10" x14ac:dyDescent="0.3">
      <c r="A4" s="3" t="s">
        <v>54</v>
      </c>
      <c r="B4" s="3" t="s">
        <v>55</v>
      </c>
      <c r="C4" s="3" t="s">
        <v>56</v>
      </c>
      <c r="D4" s="3" t="s">
        <v>57</v>
      </c>
      <c r="E4" s="3" t="s">
        <v>13</v>
      </c>
      <c r="F4" s="3" t="s">
        <v>58</v>
      </c>
      <c r="G4" s="3" t="s">
        <v>59</v>
      </c>
      <c r="H4" s="3" t="s">
        <v>60</v>
      </c>
      <c r="I4" s="3" t="s">
        <v>61</v>
      </c>
      <c r="J4" s="3" t="s">
        <v>18</v>
      </c>
    </row>
    <row r="5" spans="1:10" x14ac:dyDescent="0.3">
      <c r="A5" s="10" t="s">
        <v>102</v>
      </c>
      <c r="B5" s="10" t="s">
        <v>63</v>
      </c>
      <c r="C5" s="10" t="s">
        <v>103</v>
      </c>
      <c r="D5" s="14" t="s">
        <v>65</v>
      </c>
      <c r="E5" s="6" t="s">
        <v>20</v>
      </c>
      <c r="F5" s="11" t="s">
        <v>66</v>
      </c>
      <c r="G5" s="10">
        <v>1</v>
      </c>
      <c r="H5" s="10">
        <v>1</v>
      </c>
      <c r="I5" s="10"/>
      <c r="J5" s="10"/>
    </row>
    <row r="6" spans="1:10" x14ac:dyDescent="0.3">
      <c r="A6" s="10" t="s">
        <v>104</v>
      </c>
      <c r="B6" s="10" t="s">
        <v>63</v>
      </c>
      <c r="C6" s="10" t="s">
        <v>105</v>
      </c>
      <c r="D6" s="14" t="s">
        <v>65</v>
      </c>
      <c r="E6" s="6" t="s">
        <v>20</v>
      </c>
      <c r="F6" s="11" t="s">
        <v>66</v>
      </c>
      <c r="G6" s="10">
        <v>0.5</v>
      </c>
      <c r="H6" s="10">
        <v>0.5</v>
      </c>
      <c r="I6" s="10"/>
      <c r="J6" s="10"/>
    </row>
    <row r="7" spans="1:10" x14ac:dyDescent="0.3">
      <c r="A7" s="10" t="s">
        <v>106</v>
      </c>
      <c r="B7" s="10" t="s">
        <v>63</v>
      </c>
      <c r="C7" s="10" t="s">
        <v>107</v>
      </c>
      <c r="D7" s="14" t="s">
        <v>65</v>
      </c>
      <c r="E7" s="6" t="s">
        <v>20</v>
      </c>
      <c r="F7" s="11" t="s">
        <v>66</v>
      </c>
      <c r="G7" s="10">
        <v>0.5</v>
      </c>
      <c r="H7" s="10">
        <v>0.5</v>
      </c>
      <c r="I7" s="10"/>
      <c r="J7" s="10"/>
    </row>
    <row r="8" spans="1:10" x14ac:dyDescent="0.3">
      <c r="A8" s="10" t="s">
        <v>108</v>
      </c>
      <c r="B8" s="10" t="s">
        <v>63</v>
      </c>
      <c r="C8" s="10" t="s">
        <v>109</v>
      </c>
      <c r="D8" s="14" t="s">
        <v>65</v>
      </c>
      <c r="E8" s="13" t="s">
        <v>20</v>
      </c>
      <c r="F8" s="11" t="s">
        <v>66</v>
      </c>
      <c r="G8" s="10">
        <v>1</v>
      </c>
      <c r="H8" s="10">
        <v>2</v>
      </c>
      <c r="I8" s="10" t="s">
        <v>110</v>
      </c>
      <c r="J8" s="10" t="s">
        <v>111</v>
      </c>
    </row>
    <row r="9" spans="1:10" x14ac:dyDescent="0.3">
      <c r="A9" s="10" t="s">
        <v>112</v>
      </c>
      <c r="B9" s="10" t="s">
        <v>74</v>
      </c>
      <c r="C9" s="10" t="s">
        <v>113</v>
      </c>
      <c r="D9" s="10" t="s">
        <v>65</v>
      </c>
      <c r="E9" s="15" t="s">
        <v>20</v>
      </c>
      <c r="F9" s="11" t="s">
        <v>66</v>
      </c>
      <c r="G9" s="10">
        <v>1.5</v>
      </c>
      <c r="H9" s="10">
        <v>2</v>
      </c>
      <c r="I9" s="14" t="s">
        <v>114</v>
      </c>
      <c r="J9" s="14" t="s">
        <v>115</v>
      </c>
    </row>
    <row r="10" spans="1:10" x14ac:dyDescent="0.3">
      <c r="A10" s="10" t="s">
        <v>116</v>
      </c>
      <c r="B10" s="10" t="s">
        <v>74</v>
      </c>
      <c r="C10" s="10" t="s">
        <v>117</v>
      </c>
      <c r="D10" s="10" t="s">
        <v>65</v>
      </c>
      <c r="E10" s="7" t="s">
        <v>20</v>
      </c>
      <c r="F10" s="11" t="s">
        <v>66</v>
      </c>
      <c r="G10" s="10">
        <v>1</v>
      </c>
      <c r="H10" s="10">
        <v>0.5</v>
      </c>
      <c r="I10" s="10"/>
      <c r="J10" s="10"/>
    </row>
    <row r="11" spans="1:10" x14ac:dyDescent="0.3">
      <c r="A11" s="10" t="s">
        <v>118</v>
      </c>
      <c r="B11" s="10" t="s">
        <v>74</v>
      </c>
      <c r="C11" s="10" t="s">
        <v>119</v>
      </c>
      <c r="D11" s="10" t="s">
        <v>65</v>
      </c>
      <c r="E11" s="7" t="s">
        <v>20</v>
      </c>
      <c r="F11" s="11" t="s">
        <v>66</v>
      </c>
      <c r="G11" s="10">
        <v>1</v>
      </c>
      <c r="H11" s="10">
        <v>0.5</v>
      </c>
      <c r="I11" s="10"/>
      <c r="J11" s="10"/>
    </row>
    <row r="12" spans="1:10" x14ac:dyDescent="0.3">
      <c r="A12" s="10" t="s">
        <v>120</v>
      </c>
      <c r="B12" s="10" t="s">
        <v>74</v>
      </c>
      <c r="C12" s="10" t="s">
        <v>121</v>
      </c>
      <c r="D12" s="10" t="s">
        <v>65</v>
      </c>
      <c r="E12" s="7" t="s">
        <v>20</v>
      </c>
      <c r="F12" s="11" t="s">
        <v>66</v>
      </c>
      <c r="G12" s="10">
        <v>1</v>
      </c>
      <c r="H12" s="10">
        <v>1</v>
      </c>
      <c r="I12" s="10"/>
      <c r="J12" s="10"/>
    </row>
    <row r="13" spans="1:10" x14ac:dyDescent="0.3">
      <c r="A13" s="10" t="s">
        <v>122</v>
      </c>
      <c r="B13" s="10" t="s">
        <v>74</v>
      </c>
      <c r="C13" s="10" t="s">
        <v>123</v>
      </c>
      <c r="D13" s="10" t="s">
        <v>65</v>
      </c>
      <c r="E13" s="7" t="s">
        <v>20</v>
      </c>
      <c r="F13" s="11" t="s">
        <v>66</v>
      </c>
      <c r="G13" s="10">
        <v>0.5</v>
      </c>
      <c r="H13" s="10">
        <v>0.5</v>
      </c>
      <c r="I13" s="10"/>
      <c r="J13" s="10"/>
    </row>
    <row r="14" spans="1:10" x14ac:dyDescent="0.3">
      <c r="A14" s="10" t="s">
        <v>124</v>
      </c>
      <c r="B14" s="10" t="s">
        <v>82</v>
      </c>
      <c r="C14" s="10" t="s">
        <v>125</v>
      </c>
      <c r="D14" s="10" t="s">
        <v>65</v>
      </c>
      <c r="E14" s="7" t="s">
        <v>20</v>
      </c>
      <c r="F14" s="11" t="s">
        <v>66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126</v>
      </c>
      <c r="B15" s="10" t="s">
        <v>82</v>
      </c>
      <c r="C15" s="10" t="s">
        <v>127</v>
      </c>
      <c r="D15" s="10" t="s">
        <v>65</v>
      </c>
      <c r="E15" s="7" t="s">
        <v>20</v>
      </c>
      <c r="F15" s="11" t="s">
        <v>66</v>
      </c>
      <c r="G15" s="10">
        <v>2</v>
      </c>
      <c r="H15" s="10">
        <v>2</v>
      </c>
      <c r="I15" s="10"/>
      <c r="J15" s="10"/>
    </row>
    <row r="16" spans="1:10" x14ac:dyDescent="0.3">
      <c r="A16" s="10" t="s">
        <v>128</v>
      </c>
      <c r="B16" s="10" t="s">
        <v>82</v>
      </c>
      <c r="C16" s="10" t="s">
        <v>129</v>
      </c>
      <c r="D16" s="10" t="s">
        <v>65</v>
      </c>
      <c r="E16" s="7" t="s">
        <v>20</v>
      </c>
      <c r="F16" s="11" t="s">
        <v>66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130</v>
      </c>
      <c r="B17" s="10" t="s">
        <v>86</v>
      </c>
      <c r="C17" s="10" t="s">
        <v>131</v>
      </c>
      <c r="D17" s="10" t="s">
        <v>65</v>
      </c>
      <c r="E17" s="7" t="s">
        <v>20</v>
      </c>
      <c r="F17" s="11" t="s">
        <v>66</v>
      </c>
      <c r="G17" s="10">
        <v>1.5</v>
      </c>
      <c r="H17" s="10">
        <v>1</v>
      </c>
      <c r="I17" s="10"/>
      <c r="J17" s="10"/>
    </row>
    <row r="18" spans="1:10" x14ac:dyDescent="0.3">
      <c r="A18" s="10" t="s">
        <v>132</v>
      </c>
      <c r="B18" s="10" t="s">
        <v>86</v>
      </c>
      <c r="C18" s="10" t="s">
        <v>133</v>
      </c>
      <c r="D18" s="10" t="s">
        <v>65</v>
      </c>
      <c r="E18" s="7" t="s">
        <v>20</v>
      </c>
      <c r="F18" s="11" t="s">
        <v>66</v>
      </c>
      <c r="G18" s="10">
        <v>1</v>
      </c>
      <c r="H18" s="10">
        <v>1.5</v>
      </c>
      <c r="I18" s="10"/>
      <c r="J18" s="10"/>
    </row>
    <row r="19" spans="1:10" x14ac:dyDescent="0.3">
      <c r="A19" s="10" t="s">
        <v>134</v>
      </c>
      <c r="B19" s="10" t="s">
        <v>86</v>
      </c>
      <c r="C19" s="10" t="s">
        <v>135</v>
      </c>
      <c r="D19" s="10" t="s">
        <v>65</v>
      </c>
      <c r="E19" s="7" t="s">
        <v>20</v>
      </c>
      <c r="F19" s="11" t="s">
        <v>66</v>
      </c>
      <c r="G19" s="10">
        <v>1</v>
      </c>
      <c r="H19" s="10">
        <v>0.5</v>
      </c>
      <c r="I19" s="10"/>
      <c r="J19" s="10"/>
    </row>
    <row r="20" spans="1:10" x14ac:dyDescent="0.3">
      <c r="A20" s="10" t="s">
        <v>136</v>
      </c>
      <c r="B20" s="10" t="s">
        <v>86</v>
      </c>
      <c r="C20" s="10" t="s">
        <v>137</v>
      </c>
      <c r="D20" s="10" t="s">
        <v>65</v>
      </c>
      <c r="E20" s="7" t="s">
        <v>20</v>
      </c>
      <c r="F20" s="4" t="s">
        <v>93</v>
      </c>
      <c r="G20" s="10">
        <v>0.5</v>
      </c>
      <c r="H20" s="10">
        <v>0.5</v>
      </c>
      <c r="I20" s="10"/>
      <c r="J20" s="10"/>
    </row>
    <row r="21" spans="1:10" x14ac:dyDescent="0.3">
      <c r="A21" s="10" t="s">
        <v>138</v>
      </c>
      <c r="B21" s="10" t="s">
        <v>91</v>
      </c>
      <c r="C21" s="10" t="s">
        <v>139</v>
      </c>
      <c r="D21" s="10" t="s">
        <v>65</v>
      </c>
      <c r="E21" s="7" t="s">
        <v>20</v>
      </c>
      <c r="F21" s="11" t="s">
        <v>66</v>
      </c>
      <c r="G21" s="10">
        <v>1.5</v>
      </c>
      <c r="H21" s="10">
        <v>1.5</v>
      </c>
      <c r="I21" s="10"/>
      <c r="J21" s="10"/>
    </row>
    <row r="22" spans="1:10" x14ac:dyDescent="0.3">
      <c r="A22" s="10" t="s">
        <v>140</v>
      </c>
      <c r="B22" s="10" t="s">
        <v>91</v>
      </c>
      <c r="C22" s="10" t="s">
        <v>141</v>
      </c>
      <c r="D22" s="10" t="s">
        <v>65</v>
      </c>
      <c r="E22" s="7" t="s">
        <v>20</v>
      </c>
      <c r="F22" s="4" t="s">
        <v>93</v>
      </c>
      <c r="G22" s="10">
        <v>1</v>
      </c>
      <c r="H22" s="10">
        <v>1</v>
      </c>
      <c r="I22" s="10"/>
      <c r="J22" s="10"/>
    </row>
    <row r="23" spans="1:10" x14ac:dyDescent="0.3">
      <c r="A23" s="10" t="s">
        <v>142</v>
      </c>
      <c r="B23" s="10" t="s">
        <v>91</v>
      </c>
      <c r="C23" s="10" t="s">
        <v>143</v>
      </c>
      <c r="D23" s="10" t="s">
        <v>65</v>
      </c>
      <c r="E23" s="7" t="s">
        <v>20</v>
      </c>
      <c r="F23" s="11" t="s">
        <v>66</v>
      </c>
      <c r="G23" s="10">
        <v>1.5</v>
      </c>
      <c r="H23" s="10">
        <v>0.5</v>
      </c>
      <c r="I23" s="10"/>
      <c r="J23" s="10"/>
    </row>
    <row r="24" spans="1:10" x14ac:dyDescent="0.3">
      <c r="A24" s="10" t="s">
        <v>144</v>
      </c>
      <c r="B24" s="10" t="s">
        <v>91</v>
      </c>
      <c r="C24" s="10" t="s">
        <v>145</v>
      </c>
      <c r="D24" s="10" t="s">
        <v>65</v>
      </c>
      <c r="E24" s="7" t="s">
        <v>20</v>
      </c>
      <c r="F24" s="11" t="s">
        <v>66</v>
      </c>
      <c r="G24" s="10">
        <v>1</v>
      </c>
      <c r="H24" s="10">
        <v>0.5</v>
      </c>
      <c r="I24" s="10"/>
      <c r="J24" s="10"/>
    </row>
    <row r="25" spans="1:10" x14ac:dyDescent="0.3">
      <c r="A25" s="10" t="s">
        <v>146</v>
      </c>
      <c r="B25" s="10" t="s">
        <v>91</v>
      </c>
      <c r="C25" s="10" t="s">
        <v>147</v>
      </c>
      <c r="D25" s="10" t="s">
        <v>65</v>
      </c>
      <c r="E25" s="7" t="s">
        <v>20</v>
      </c>
      <c r="F25" s="4" t="s">
        <v>100</v>
      </c>
      <c r="G25" s="10">
        <v>0.5</v>
      </c>
      <c r="H25" s="10">
        <v>0.5</v>
      </c>
      <c r="I25" s="10"/>
      <c r="J25" s="10"/>
    </row>
  </sheetData>
  <mergeCells count="1">
    <mergeCell ref="A1:J1"/>
  </mergeCells>
  <conditionalFormatting sqref="E5:E100">
    <cfRule type="cellIs" dxfId="19" priority="1" operator="equal">
      <formula>"Complete"</formula>
    </cfRule>
    <cfRule type="cellIs" dxfId="18" priority="2" operator="equal">
      <formula>"In Progress"</formula>
    </cfRule>
    <cfRule type="cellIs" dxfId="17" priority="3" operator="equal">
      <formula>"Blocked"</formula>
    </cfRule>
    <cfRule type="cellIs" dxfId="16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workbookViewId="0">
      <pane ySplit="4" topLeftCell="A20" activePane="bottomLeft" state="frozen"/>
      <selection pane="bottomLeft" activeCell="C11" sqref="C11"/>
    </sheetView>
  </sheetViews>
  <sheetFormatPr defaultRowHeight="14.4" x14ac:dyDescent="0.3"/>
  <cols>
    <col min="1" max="1" width="10" customWidth="1"/>
    <col min="2" max="2" width="8.4414062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6" t="s">
        <v>148</v>
      </c>
      <c r="B1" s="34"/>
      <c r="C1" s="34"/>
      <c r="D1" s="34"/>
      <c r="E1" s="34"/>
      <c r="F1" s="34"/>
      <c r="G1" s="34"/>
      <c r="H1" s="34"/>
      <c r="I1" s="34"/>
      <c r="J1" s="34"/>
    </row>
    <row r="2" spans="1:10" x14ac:dyDescent="0.3">
      <c r="A2" t="s">
        <v>53</v>
      </c>
      <c r="B2" s="28" t="s">
        <v>20</v>
      </c>
    </row>
    <row r="4" spans="1:10" x14ac:dyDescent="0.3">
      <c r="A4" s="3" t="s">
        <v>54</v>
      </c>
      <c r="B4" s="3" t="s">
        <v>55</v>
      </c>
      <c r="C4" s="3" t="s">
        <v>56</v>
      </c>
      <c r="D4" s="3" t="s">
        <v>57</v>
      </c>
      <c r="E4" s="3" t="s">
        <v>13</v>
      </c>
      <c r="F4" s="3" t="s">
        <v>58</v>
      </c>
      <c r="G4" s="3" t="s">
        <v>59</v>
      </c>
      <c r="H4" s="3" t="s">
        <v>60</v>
      </c>
      <c r="I4" s="3" t="s">
        <v>61</v>
      </c>
      <c r="J4" s="3" t="s">
        <v>18</v>
      </c>
    </row>
    <row r="5" spans="1:10" x14ac:dyDescent="0.3">
      <c r="A5" s="10" t="s">
        <v>149</v>
      </c>
      <c r="B5" s="10" t="s">
        <v>63</v>
      </c>
      <c r="C5" s="10" t="s">
        <v>150</v>
      </c>
      <c r="D5" s="10" t="s">
        <v>65</v>
      </c>
      <c r="E5" s="7" t="s">
        <v>20</v>
      </c>
      <c r="F5" s="11" t="s">
        <v>66</v>
      </c>
      <c r="G5" s="10">
        <v>1</v>
      </c>
      <c r="H5" s="10">
        <v>1</v>
      </c>
      <c r="I5" s="10"/>
      <c r="J5" s="10"/>
    </row>
    <row r="6" spans="1:10" x14ac:dyDescent="0.3">
      <c r="A6" s="10" t="s">
        <v>151</v>
      </c>
      <c r="B6" s="10" t="s">
        <v>63</v>
      </c>
      <c r="C6" s="10" t="s">
        <v>152</v>
      </c>
      <c r="D6" s="10" t="s">
        <v>65</v>
      </c>
      <c r="E6" s="7" t="s">
        <v>20</v>
      </c>
      <c r="F6" s="11" t="s">
        <v>66</v>
      </c>
      <c r="G6" s="10">
        <v>0.5</v>
      </c>
      <c r="H6" s="10">
        <v>0.5</v>
      </c>
      <c r="I6" s="10"/>
      <c r="J6" s="10"/>
    </row>
    <row r="7" spans="1:10" x14ac:dyDescent="0.3">
      <c r="A7" s="10" t="s">
        <v>153</v>
      </c>
      <c r="B7" s="10" t="s">
        <v>63</v>
      </c>
      <c r="C7" s="10" t="s">
        <v>154</v>
      </c>
      <c r="D7" s="10" t="s">
        <v>65</v>
      </c>
      <c r="E7" s="7" t="s">
        <v>20</v>
      </c>
      <c r="F7" s="11" t="s">
        <v>66</v>
      </c>
      <c r="G7" s="10">
        <v>1</v>
      </c>
      <c r="H7" s="10">
        <v>1</v>
      </c>
      <c r="I7" s="10"/>
      <c r="J7" s="10"/>
    </row>
    <row r="8" spans="1:10" x14ac:dyDescent="0.3">
      <c r="A8" s="10" t="s">
        <v>155</v>
      </c>
      <c r="B8" s="10" t="s">
        <v>63</v>
      </c>
      <c r="C8" s="10" t="s">
        <v>156</v>
      </c>
      <c r="D8" s="10" t="s">
        <v>65</v>
      </c>
      <c r="E8" s="7" t="s">
        <v>20</v>
      </c>
      <c r="F8" s="11" t="s">
        <v>66</v>
      </c>
      <c r="G8" s="10">
        <v>1.5</v>
      </c>
      <c r="H8" s="10">
        <v>1.5</v>
      </c>
      <c r="I8" s="10"/>
      <c r="J8" s="10"/>
    </row>
    <row r="9" spans="1:10" x14ac:dyDescent="0.3">
      <c r="A9" s="10" t="s">
        <v>157</v>
      </c>
      <c r="B9" s="10" t="s">
        <v>63</v>
      </c>
      <c r="C9" s="10" t="s">
        <v>158</v>
      </c>
      <c r="D9" s="10" t="s">
        <v>65</v>
      </c>
      <c r="E9" s="7" t="s">
        <v>20</v>
      </c>
      <c r="F9" s="4" t="s">
        <v>93</v>
      </c>
      <c r="G9" s="10">
        <v>1</v>
      </c>
      <c r="H9" s="10">
        <v>2</v>
      </c>
      <c r="I9" s="10"/>
      <c r="J9" s="10"/>
    </row>
    <row r="10" spans="1:10" x14ac:dyDescent="0.3">
      <c r="A10" s="10" t="s">
        <v>159</v>
      </c>
      <c r="B10" s="10" t="s">
        <v>74</v>
      </c>
      <c r="C10" s="10" t="s">
        <v>160</v>
      </c>
      <c r="D10" s="10" t="s">
        <v>65</v>
      </c>
      <c r="E10" s="7" t="s">
        <v>20</v>
      </c>
      <c r="F10" s="11" t="s">
        <v>66</v>
      </c>
      <c r="G10" s="10">
        <v>2</v>
      </c>
      <c r="H10" s="10">
        <v>2</v>
      </c>
      <c r="I10" s="10"/>
      <c r="J10" s="10"/>
    </row>
    <row r="11" spans="1:10" x14ac:dyDescent="0.3">
      <c r="A11" s="10" t="s">
        <v>161</v>
      </c>
      <c r="B11" s="10" t="s">
        <v>74</v>
      </c>
      <c r="C11" s="10" t="s">
        <v>162</v>
      </c>
      <c r="D11" s="10" t="s">
        <v>65</v>
      </c>
      <c r="E11" s="7" t="s">
        <v>20</v>
      </c>
      <c r="F11" s="11" t="s">
        <v>66</v>
      </c>
      <c r="G11" s="10">
        <v>1.5</v>
      </c>
      <c r="H11" s="10">
        <v>0</v>
      </c>
      <c r="I11" s="10"/>
      <c r="J11" s="10" t="s">
        <v>377</v>
      </c>
    </row>
    <row r="12" spans="1:10" x14ac:dyDescent="0.3">
      <c r="A12" s="10" t="s">
        <v>163</v>
      </c>
      <c r="B12" s="10" t="s">
        <v>74</v>
      </c>
      <c r="C12" s="10" t="s">
        <v>164</v>
      </c>
      <c r="D12" s="10" t="s">
        <v>65</v>
      </c>
      <c r="E12" s="7" t="s">
        <v>20</v>
      </c>
      <c r="F12" s="11" t="s">
        <v>66</v>
      </c>
      <c r="G12" s="10">
        <v>0.5</v>
      </c>
      <c r="H12" s="10">
        <v>0.5</v>
      </c>
      <c r="I12" s="10"/>
      <c r="J12" s="10"/>
    </row>
    <row r="13" spans="1:10" x14ac:dyDescent="0.3">
      <c r="A13" s="10" t="s">
        <v>165</v>
      </c>
      <c r="B13" s="10" t="s">
        <v>74</v>
      </c>
      <c r="C13" s="10" t="s">
        <v>166</v>
      </c>
      <c r="D13" s="10" t="s">
        <v>65</v>
      </c>
      <c r="E13" s="7" t="s">
        <v>20</v>
      </c>
      <c r="F13" s="11" t="s">
        <v>66</v>
      </c>
      <c r="G13" s="10">
        <v>1</v>
      </c>
      <c r="H13" s="10">
        <v>1</v>
      </c>
      <c r="I13" s="10"/>
      <c r="J13" s="10"/>
    </row>
    <row r="14" spans="1:10" x14ac:dyDescent="0.3">
      <c r="A14" s="10" t="s">
        <v>167</v>
      </c>
      <c r="B14" s="10" t="s">
        <v>82</v>
      </c>
      <c r="C14" s="10" t="s">
        <v>378</v>
      </c>
      <c r="D14" s="10" t="s">
        <v>65</v>
      </c>
      <c r="E14" s="7" t="s">
        <v>20</v>
      </c>
      <c r="F14" s="11" t="s">
        <v>66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169</v>
      </c>
      <c r="B15" s="10" t="s">
        <v>82</v>
      </c>
      <c r="C15" s="10" t="s">
        <v>379</v>
      </c>
      <c r="D15" s="10" t="s">
        <v>65</v>
      </c>
      <c r="E15" s="7" t="s">
        <v>20</v>
      </c>
      <c r="F15" s="11" t="s">
        <v>66</v>
      </c>
      <c r="G15" s="10">
        <v>1.5</v>
      </c>
      <c r="H15" s="10">
        <v>1.5</v>
      </c>
      <c r="I15" s="10"/>
      <c r="J15" s="10"/>
    </row>
    <row r="16" spans="1:10" x14ac:dyDescent="0.3">
      <c r="A16" s="10" t="s">
        <v>171</v>
      </c>
      <c r="B16" s="10" t="s">
        <v>82</v>
      </c>
      <c r="C16" s="10" t="s">
        <v>380</v>
      </c>
      <c r="D16" s="10" t="s">
        <v>65</v>
      </c>
      <c r="E16" s="7" t="s">
        <v>20</v>
      </c>
      <c r="F16" s="11" t="s">
        <v>66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173</v>
      </c>
      <c r="B17" s="10" t="s">
        <v>82</v>
      </c>
      <c r="C17" s="10" t="s">
        <v>381</v>
      </c>
      <c r="D17" s="10" t="s">
        <v>65</v>
      </c>
      <c r="E17" s="7" t="s">
        <v>20</v>
      </c>
      <c r="F17" s="11" t="s">
        <v>66</v>
      </c>
      <c r="G17" s="10">
        <v>1</v>
      </c>
      <c r="H17" s="10">
        <v>0.5</v>
      </c>
      <c r="I17" s="10"/>
      <c r="J17" s="10"/>
    </row>
    <row r="18" spans="1:10" x14ac:dyDescent="0.3">
      <c r="A18" s="10" t="s">
        <v>175</v>
      </c>
      <c r="B18" s="10" t="s">
        <v>82</v>
      </c>
      <c r="C18" s="10" t="s">
        <v>382</v>
      </c>
      <c r="D18" s="10" t="s">
        <v>65</v>
      </c>
      <c r="E18" s="7" t="s">
        <v>20</v>
      </c>
      <c r="F18" s="11" t="s">
        <v>93</v>
      </c>
      <c r="G18" s="10">
        <v>0.5</v>
      </c>
      <c r="H18" s="10">
        <v>0.5</v>
      </c>
      <c r="I18" s="10"/>
      <c r="J18" s="10"/>
    </row>
    <row r="19" spans="1:10" x14ac:dyDescent="0.3">
      <c r="A19" s="10" t="s">
        <v>177</v>
      </c>
      <c r="B19" s="10" t="s">
        <v>82</v>
      </c>
      <c r="C19" s="10" t="s">
        <v>168</v>
      </c>
      <c r="D19" s="10" t="s">
        <v>65</v>
      </c>
      <c r="E19" s="7" t="s">
        <v>20</v>
      </c>
      <c r="F19" s="11" t="s">
        <v>66</v>
      </c>
      <c r="G19" s="10">
        <v>2</v>
      </c>
      <c r="H19" s="10">
        <v>2.5</v>
      </c>
      <c r="I19" s="10" t="s">
        <v>388</v>
      </c>
      <c r="J19" s="10" t="s">
        <v>389</v>
      </c>
    </row>
    <row r="20" spans="1:10" x14ac:dyDescent="0.3">
      <c r="A20" s="10" t="s">
        <v>179</v>
      </c>
      <c r="B20" s="10" t="s">
        <v>82</v>
      </c>
      <c r="C20" s="10" t="s">
        <v>170</v>
      </c>
      <c r="D20" s="10" t="s">
        <v>65</v>
      </c>
      <c r="E20" s="7" t="s">
        <v>20</v>
      </c>
      <c r="F20" s="11" t="s">
        <v>66</v>
      </c>
      <c r="G20" s="10">
        <v>1</v>
      </c>
      <c r="H20" s="10">
        <v>1</v>
      </c>
      <c r="I20" s="10"/>
      <c r="J20" s="10"/>
    </row>
    <row r="21" spans="1:10" x14ac:dyDescent="0.3">
      <c r="A21" s="10" t="s">
        <v>181</v>
      </c>
      <c r="B21" s="10" t="s">
        <v>82</v>
      </c>
      <c r="C21" s="10" t="s">
        <v>172</v>
      </c>
      <c r="D21" s="10" t="s">
        <v>65</v>
      </c>
      <c r="E21" s="7" t="s">
        <v>20</v>
      </c>
      <c r="F21" s="11" t="s">
        <v>66</v>
      </c>
      <c r="G21" s="10">
        <v>1</v>
      </c>
      <c r="H21" s="10">
        <v>1</v>
      </c>
      <c r="I21" s="10"/>
      <c r="J21" s="10"/>
    </row>
    <row r="22" spans="1:10" x14ac:dyDescent="0.3">
      <c r="A22" s="10" t="s">
        <v>183</v>
      </c>
      <c r="B22" s="10" t="s">
        <v>86</v>
      </c>
      <c r="C22" s="10" t="s">
        <v>174</v>
      </c>
      <c r="D22" s="10" t="s">
        <v>65</v>
      </c>
      <c r="E22" s="7" t="s">
        <v>20</v>
      </c>
      <c r="F22" s="11" t="s">
        <v>66</v>
      </c>
      <c r="G22" s="10">
        <v>2</v>
      </c>
      <c r="H22" s="10">
        <v>0</v>
      </c>
      <c r="I22" s="10"/>
      <c r="J22" s="10" t="s">
        <v>390</v>
      </c>
    </row>
    <row r="23" spans="1:10" x14ac:dyDescent="0.3">
      <c r="A23" s="10" t="s">
        <v>185</v>
      </c>
      <c r="B23" s="10" t="s">
        <v>86</v>
      </c>
      <c r="C23" s="10" t="s">
        <v>176</v>
      </c>
      <c r="D23" s="10" t="s">
        <v>65</v>
      </c>
      <c r="E23" s="7" t="s">
        <v>20</v>
      </c>
      <c r="F23" s="4" t="s">
        <v>93</v>
      </c>
      <c r="G23" s="10">
        <v>1</v>
      </c>
      <c r="H23" s="10">
        <v>0</v>
      </c>
      <c r="I23" s="10"/>
      <c r="J23" s="10" t="s">
        <v>391</v>
      </c>
    </row>
    <row r="24" spans="1:10" x14ac:dyDescent="0.3">
      <c r="A24" s="10" t="s">
        <v>187</v>
      </c>
      <c r="B24" s="10" t="s">
        <v>86</v>
      </c>
      <c r="C24" s="10" t="s">
        <v>178</v>
      </c>
      <c r="D24" s="10" t="s">
        <v>65</v>
      </c>
      <c r="E24" s="7" t="s">
        <v>20</v>
      </c>
      <c r="F24" s="4" t="s">
        <v>93</v>
      </c>
      <c r="G24" s="10">
        <v>1.5</v>
      </c>
      <c r="H24" s="10">
        <v>0</v>
      </c>
      <c r="I24" s="10"/>
      <c r="J24" s="10" t="s">
        <v>391</v>
      </c>
    </row>
    <row r="25" spans="1:10" x14ac:dyDescent="0.3">
      <c r="A25" s="10" t="s">
        <v>383</v>
      </c>
      <c r="B25" s="10" t="s">
        <v>91</v>
      </c>
      <c r="C25" s="10" t="s">
        <v>180</v>
      </c>
      <c r="D25" s="10" t="s">
        <v>65</v>
      </c>
      <c r="E25" s="7" t="s">
        <v>20</v>
      </c>
      <c r="F25" s="4" t="s">
        <v>93</v>
      </c>
      <c r="G25" s="10">
        <v>1</v>
      </c>
      <c r="H25" s="10">
        <v>1</v>
      </c>
      <c r="I25" s="10"/>
      <c r="J25" s="10"/>
    </row>
    <row r="26" spans="1:10" x14ac:dyDescent="0.3">
      <c r="A26" s="10" t="s">
        <v>384</v>
      </c>
      <c r="B26" s="10" t="s">
        <v>91</v>
      </c>
      <c r="C26" s="10" t="s">
        <v>182</v>
      </c>
      <c r="D26" s="10" t="s">
        <v>65</v>
      </c>
      <c r="E26" s="7" t="s">
        <v>20</v>
      </c>
      <c r="F26" s="4" t="s">
        <v>93</v>
      </c>
      <c r="G26" s="10">
        <v>0.5</v>
      </c>
      <c r="H26" s="10">
        <v>0.5</v>
      </c>
      <c r="I26" s="10"/>
      <c r="J26" s="10"/>
    </row>
    <row r="27" spans="1:10" x14ac:dyDescent="0.3">
      <c r="A27" s="10" t="s">
        <v>385</v>
      </c>
      <c r="B27" s="10" t="s">
        <v>91</v>
      </c>
      <c r="C27" s="10" t="s">
        <v>184</v>
      </c>
      <c r="D27" s="10" t="s">
        <v>65</v>
      </c>
      <c r="E27" s="7" t="s">
        <v>20</v>
      </c>
      <c r="F27" s="11" t="s">
        <v>66</v>
      </c>
      <c r="G27" s="10">
        <v>1</v>
      </c>
      <c r="H27" s="10">
        <v>0</v>
      </c>
      <c r="I27" s="10"/>
      <c r="J27" s="10"/>
    </row>
    <row r="28" spans="1:10" x14ac:dyDescent="0.3">
      <c r="A28" s="10" t="s">
        <v>386</v>
      </c>
      <c r="B28" s="10" t="s">
        <v>91</v>
      </c>
      <c r="C28" s="10" t="s">
        <v>186</v>
      </c>
      <c r="D28" s="10" t="s">
        <v>65</v>
      </c>
      <c r="E28" s="7" t="s">
        <v>20</v>
      </c>
      <c r="F28" s="11" t="s">
        <v>66</v>
      </c>
      <c r="G28" s="10">
        <v>1.5</v>
      </c>
      <c r="H28" s="10">
        <v>1</v>
      </c>
      <c r="I28" s="10"/>
      <c r="J28" s="10"/>
    </row>
    <row r="29" spans="1:10" x14ac:dyDescent="0.3">
      <c r="A29" s="10" t="s">
        <v>387</v>
      </c>
      <c r="B29" s="10" t="s">
        <v>91</v>
      </c>
      <c r="C29" s="10" t="s">
        <v>188</v>
      </c>
      <c r="D29" s="10" t="s">
        <v>65</v>
      </c>
      <c r="E29" s="7" t="s">
        <v>20</v>
      </c>
      <c r="F29" s="4" t="s">
        <v>100</v>
      </c>
      <c r="G29" s="10">
        <v>0.5</v>
      </c>
      <c r="H29" s="10">
        <v>0.5</v>
      </c>
      <c r="I29" s="10"/>
      <c r="J29" s="10"/>
    </row>
  </sheetData>
  <mergeCells count="1">
    <mergeCell ref="A1:J1"/>
  </mergeCells>
  <conditionalFormatting sqref="E5:E105">
    <cfRule type="cellIs" dxfId="15" priority="1" operator="equal">
      <formula>"Complete"</formula>
    </cfRule>
    <cfRule type="cellIs" dxfId="14" priority="2" operator="equal">
      <formula>"In Progress"</formula>
    </cfRule>
    <cfRule type="cellIs" dxfId="13" priority="3" operator="equal">
      <formula>"Blocked"</formula>
    </cfRule>
    <cfRule type="cellIs" dxfId="12" priority="4" operator="equal">
      <formula>"Not Started"</formula>
    </cfRule>
  </conditionalFormatting>
  <dataValidations count="2">
    <dataValidation type="list" errorTitle="Invalid Entry" error="Invalid status" sqref="E5 E6 E7 E8 E9 E10 E11 E12 E13:E18 E19 E20 E21 E22 E23 E24 E25 E26 E27 E28 E29 E30" xr:uid="{00000000-0002-0000-0300-000000000000}">
      <formula1>"Not Started,In Progress,Complete,Blocked"</formula1>
    </dataValidation>
    <dataValidation type="list" errorTitle="Invalid Entry" error="Invalid priority" sqref="F5 F6 F7 F8 F9 F10 F11 F12 F13:F18 F19 F20 F21 F22 F23 F24 F25 F26 F27 F28 F29 F30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 activeCell="B2" sqref="B2"/>
    </sheetView>
  </sheetViews>
  <sheetFormatPr defaultRowHeight="14.4" x14ac:dyDescent="0.3"/>
  <cols>
    <col min="1" max="1" width="10" customWidth="1"/>
    <col min="2" max="2" width="9.7773437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6" t="s">
        <v>189</v>
      </c>
      <c r="B1" s="34"/>
      <c r="C1" s="34"/>
      <c r="D1" s="34"/>
      <c r="E1" s="34"/>
      <c r="F1" s="34"/>
      <c r="G1" s="34"/>
      <c r="H1" s="34"/>
      <c r="I1" s="34"/>
      <c r="J1" s="34"/>
    </row>
    <row r="2" spans="1:10" x14ac:dyDescent="0.3">
      <c r="A2" t="s">
        <v>53</v>
      </c>
      <c r="B2" s="28" t="s">
        <v>20</v>
      </c>
    </row>
    <row r="4" spans="1:10" x14ac:dyDescent="0.3">
      <c r="A4" s="3" t="s">
        <v>54</v>
      </c>
      <c r="B4" s="3" t="s">
        <v>55</v>
      </c>
      <c r="C4" s="3" t="s">
        <v>56</v>
      </c>
      <c r="D4" s="3" t="s">
        <v>57</v>
      </c>
      <c r="E4" s="3" t="s">
        <v>13</v>
      </c>
      <c r="F4" s="3" t="s">
        <v>58</v>
      </c>
      <c r="G4" s="3" t="s">
        <v>59</v>
      </c>
      <c r="H4" s="3" t="s">
        <v>60</v>
      </c>
      <c r="I4" s="3" t="s">
        <v>61</v>
      </c>
      <c r="J4" s="3" t="s">
        <v>18</v>
      </c>
    </row>
    <row r="5" spans="1:10" x14ac:dyDescent="0.3">
      <c r="A5" s="10" t="s">
        <v>190</v>
      </c>
      <c r="B5" s="10" t="s">
        <v>63</v>
      </c>
      <c r="C5" s="10" t="s">
        <v>191</v>
      </c>
      <c r="D5" s="10" t="s">
        <v>65</v>
      </c>
      <c r="E5" s="7" t="s">
        <v>20</v>
      </c>
      <c r="F5" s="11" t="s">
        <v>66</v>
      </c>
      <c r="G5" s="10">
        <v>2</v>
      </c>
      <c r="H5" s="10">
        <v>2</v>
      </c>
      <c r="I5" s="10"/>
      <c r="J5" s="10"/>
    </row>
    <row r="6" spans="1:10" x14ac:dyDescent="0.3">
      <c r="A6" s="10" t="s">
        <v>192</v>
      </c>
      <c r="B6" s="10" t="s">
        <v>63</v>
      </c>
      <c r="C6" s="10" t="s">
        <v>193</v>
      </c>
      <c r="D6" s="10" t="s">
        <v>65</v>
      </c>
      <c r="E6" s="7" t="s">
        <v>20</v>
      </c>
      <c r="F6" s="11" t="s">
        <v>66</v>
      </c>
      <c r="G6" s="10">
        <v>1.5</v>
      </c>
      <c r="H6" s="10">
        <v>1.5</v>
      </c>
      <c r="I6" s="10"/>
      <c r="J6" s="10"/>
    </row>
    <row r="7" spans="1:10" x14ac:dyDescent="0.3">
      <c r="A7" s="10" t="s">
        <v>194</v>
      </c>
      <c r="B7" s="10" t="s">
        <v>63</v>
      </c>
      <c r="C7" s="10" t="s">
        <v>195</v>
      </c>
      <c r="D7" s="10" t="s">
        <v>65</v>
      </c>
      <c r="E7" s="7" t="s">
        <v>20</v>
      </c>
      <c r="F7" s="11" t="s">
        <v>66</v>
      </c>
      <c r="G7" s="10">
        <v>0.5</v>
      </c>
      <c r="H7" s="10">
        <v>0.5</v>
      </c>
      <c r="I7" s="10"/>
      <c r="J7" s="10"/>
    </row>
    <row r="8" spans="1:10" x14ac:dyDescent="0.3">
      <c r="A8" s="10" t="s">
        <v>196</v>
      </c>
      <c r="B8" s="10" t="s">
        <v>63</v>
      </c>
      <c r="C8" s="10" t="s">
        <v>197</v>
      </c>
      <c r="D8" s="10" t="s">
        <v>65</v>
      </c>
      <c r="E8" s="7" t="s">
        <v>20</v>
      </c>
      <c r="F8" s="11" t="s">
        <v>66</v>
      </c>
      <c r="G8" s="10">
        <v>0.5</v>
      </c>
      <c r="H8" s="10">
        <v>0.5</v>
      </c>
      <c r="I8" s="10"/>
      <c r="J8" s="10"/>
    </row>
    <row r="9" spans="1:10" x14ac:dyDescent="0.3">
      <c r="A9" s="10" t="s">
        <v>198</v>
      </c>
      <c r="B9" s="10" t="s">
        <v>74</v>
      </c>
      <c r="C9" s="10" t="s">
        <v>199</v>
      </c>
      <c r="D9" s="10" t="s">
        <v>65</v>
      </c>
      <c r="E9" s="7" t="s">
        <v>20</v>
      </c>
      <c r="F9" s="11" t="s">
        <v>66</v>
      </c>
      <c r="G9" s="10">
        <v>2</v>
      </c>
      <c r="H9" s="10">
        <v>2</v>
      </c>
      <c r="I9" s="10"/>
      <c r="J9" s="10"/>
    </row>
    <row r="10" spans="1:10" x14ac:dyDescent="0.3">
      <c r="A10" s="10" t="s">
        <v>200</v>
      </c>
      <c r="B10" s="10" t="s">
        <v>74</v>
      </c>
      <c r="C10" s="10" t="s">
        <v>201</v>
      </c>
      <c r="D10" s="10" t="s">
        <v>65</v>
      </c>
      <c r="E10" s="7" t="s">
        <v>20</v>
      </c>
      <c r="F10" s="11" t="s">
        <v>66</v>
      </c>
      <c r="G10" s="10">
        <v>1.5</v>
      </c>
      <c r="H10" s="10">
        <v>1.5</v>
      </c>
      <c r="I10" s="10"/>
      <c r="J10" s="10"/>
    </row>
    <row r="11" spans="1:10" x14ac:dyDescent="0.3">
      <c r="A11" s="10" t="s">
        <v>202</v>
      </c>
      <c r="B11" s="10" t="s">
        <v>74</v>
      </c>
      <c r="C11" s="10" t="s">
        <v>203</v>
      </c>
      <c r="D11" s="10" t="s">
        <v>65</v>
      </c>
      <c r="E11" s="7" t="s">
        <v>20</v>
      </c>
      <c r="F11" s="11" t="s">
        <v>66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204</v>
      </c>
      <c r="B12" s="10" t="s">
        <v>74</v>
      </c>
      <c r="C12" s="10" t="s">
        <v>205</v>
      </c>
      <c r="D12" s="10" t="s">
        <v>65</v>
      </c>
      <c r="E12" s="7" t="s">
        <v>20</v>
      </c>
      <c r="F12" s="11" t="s">
        <v>66</v>
      </c>
      <c r="G12" s="10">
        <v>1</v>
      </c>
      <c r="H12" s="10">
        <v>4</v>
      </c>
      <c r="I12" s="10" t="s">
        <v>398</v>
      </c>
      <c r="J12" s="10" t="s">
        <v>399</v>
      </c>
    </row>
    <row r="13" spans="1:10" x14ac:dyDescent="0.3">
      <c r="A13" s="10" t="s">
        <v>206</v>
      </c>
      <c r="B13" s="10" t="s">
        <v>82</v>
      </c>
      <c r="C13" s="10" t="s">
        <v>207</v>
      </c>
      <c r="D13" s="10" t="s">
        <v>65</v>
      </c>
      <c r="E13" s="7" t="s">
        <v>20</v>
      </c>
      <c r="F13" s="11" t="s">
        <v>66</v>
      </c>
      <c r="G13" s="10">
        <v>2</v>
      </c>
      <c r="H13" s="10">
        <v>2</v>
      </c>
      <c r="I13" s="10"/>
      <c r="J13" s="10"/>
    </row>
    <row r="14" spans="1:10" x14ac:dyDescent="0.3">
      <c r="A14" s="10" t="s">
        <v>208</v>
      </c>
      <c r="B14" s="10" t="s">
        <v>82</v>
      </c>
      <c r="C14" s="10" t="s">
        <v>209</v>
      </c>
      <c r="D14" s="10" t="s">
        <v>65</v>
      </c>
      <c r="E14" s="7" t="s">
        <v>20</v>
      </c>
      <c r="F14" s="11" t="s">
        <v>66</v>
      </c>
      <c r="G14" s="10">
        <v>1</v>
      </c>
      <c r="H14" s="10">
        <v>1</v>
      </c>
      <c r="I14" s="10"/>
      <c r="J14" s="10"/>
    </row>
    <row r="15" spans="1:10" x14ac:dyDescent="0.3">
      <c r="A15" s="10" t="s">
        <v>210</v>
      </c>
      <c r="B15" s="10" t="s">
        <v>82</v>
      </c>
      <c r="C15" s="10" t="s">
        <v>211</v>
      </c>
      <c r="D15" s="10" t="s">
        <v>65</v>
      </c>
      <c r="E15" s="7" t="s">
        <v>20</v>
      </c>
      <c r="F15" s="11" t="s">
        <v>66</v>
      </c>
      <c r="G15" s="10">
        <v>1</v>
      </c>
      <c r="H15" s="10">
        <v>2</v>
      </c>
      <c r="I15" s="10"/>
      <c r="J15" s="10" t="s">
        <v>401</v>
      </c>
    </row>
    <row r="16" spans="1:10" x14ac:dyDescent="0.3">
      <c r="A16" s="10" t="s">
        <v>212</v>
      </c>
      <c r="B16" s="10" t="s">
        <v>86</v>
      </c>
      <c r="C16" s="10" t="s">
        <v>213</v>
      </c>
      <c r="D16" s="10" t="s">
        <v>65</v>
      </c>
      <c r="E16" s="7" t="s">
        <v>20</v>
      </c>
      <c r="F16" s="4" t="s">
        <v>93</v>
      </c>
      <c r="G16" s="10">
        <v>1</v>
      </c>
      <c r="H16" s="10">
        <v>2</v>
      </c>
      <c r="I16" s="10" t="s">
        <v>402</v>
      </c>
      <c r="J16" s="10" t="s">
        <v>403</v>
      </c>
    </row>
    <row r="17" spans="1:10" x14ac:dyDescent="0.3">
      <c r="A17" s="10" t="s">
        <v>214</v>
      </c>
      <c r="B17" s="10" t="s">
        <v>86</v>
      </c>
      <c r="C17" s="10" t="s">
        <v>407</v>
      </c>
      <c r="D17" s="10" t="s">
        <v>65</v>
      </c>
      <c r="E17" s="7" t="s">
        <v>20</v>
      </c>
      <c r="F17" s="11" t="s">
        <v>66</v>
      </c>
      <c r="G17" s="10">
        <v>2</v>
      </c>
      <c r="H17" s="10">
        <v>3</v>
      </c>
      <c r="I17" s="10"/>
      <c r="J17" s="10"/>
    </row>
    <row r="18" spans="1:10" x14ac:dyDescent="0.3">
      <c r="A18" s="10" t="s">
        <v>215</v>
      </c>
      <c r="B18" s="10" t="s">
        <v>86</v>
      </c>
      <c r="C18" s="10" t="s">
        <v>408</v>
      </c>
      <c r="D18" s="10" t="s">
        <v>65</v>
      </c>
      <c r="E18" s="7" t="s">
        <v>20</v>
      </c>
      <c r="F18" s="11" t="s">
        <v>66</v>
      </c>
      <c r="G18" s="10">
        <v>1.5</v>
      </c>
      <c r="H18" s="10">
        <v>1.5</v>
      </c>
      <c r="I18" s="10"/>
      <c r="J18" s="10"/>
    </row>
    <row r="19" spans="1:10" x14ac:dyDescent="0.3">
      <c r="A19" s="10" t="s">
        <v>216</v>
      </c>
      <c r="B19" s="10" t="s">
        <v>86</v>
      </c>
      <c r="C19" s="10" t="s">
        <v>409</v>
      </c>
      <c r="D19" s="10" t="s">
        <v>65</v>
      </c>
      <c r="E19" s="7" t="s">
        <v>20</v>
      </c>
      <c r="F19" s="11" t="s">
        <v>66</v>
      </c>
      <c r="G19" s="10">
        <v>1</v>
      </c>
      <c r="H19" s="10">
        <v>2.5</v>
      </c>
      <c r="I19" s="10" t="s">
        <v>410</v>
      </c>
      <c r="J19" s="10"/>
    </row>
    <row r="20" spans="1:10" x14ac:dyDescent="0.3">
      <c r="A20" s="10" t="s">
        <v>217</v>
      </c>
      <c r="B20" s="10" t="s">
        <v>91</v>
      </c>
      <c r="C20" s="10" t="s">
        <v>218</v>
      </c>
      <c r="D20" s="10" t="s">
        <v>65</v>
      </c>
      <c r="E20" s="7" t="s">
        <v>20</v>
      </c>
      <c r="F20" s="11" t="s">
        <v>66</v>
      </c>
      <c r="G20" s="10">
        <v>1.5</v>
      </c>
      <c r="H20" s="10">
        <v>0</v>
      </c>
      <c r="I20" s="10"/>
      <c r="J20" s="10" t="s">
        <v>411</v>
      </c>
    </row>
    <row r="21" spans="1:10" x14ac:dyDescent="0.3">
      <c r="A21" s="10" t="s">
        <v>219</v>
      </c>
      <c r="B21" s="10" t="s">
        <v>91</v>
      </c>
      <c r="C21" s="10" t="s">
        <v>220</v>
      </c>
      <c r="D21" s="10" t="s">
        <v>65</v>
      </c>
      <c r="E21" s="7" t="s">
        <v>20</v>
      </c>
      <c r="F21" s="11" t="s">
        <v>66</v>
      </c>
      <c r="G21" s="10">
        <v>1</v>
      </c>
      <c r="H21" s="10">
        <v>0</v>
      </c>
      <c r="I21" s="10"/>
      <c r="J21" s="10" t="s">
        <v>411</v>
      </c>
    </row>
    <row r="22" spans="1:10" x14ac:dyDescent="0.3">
      <c r="A22" s="10" t="s">
        <v>221</v>
      </c>
      <c r="B22" s="10" t="s">
        <v>91</v>
      </c>
      <c r="C22" s="10" t="s">
        <v>222</v>
      </c>
      <c r="D22" s="10" t="s">
        <v>65</v>
      </c>
      <c r="E22" s="7" t="s">
        <v>20</v>
      </c>
      <c r="F22" s="4" t="s">
        <v>93</v>
      </c>
      <c r="G22" s="10">
        <v>1</v>
      </c>
      <c r="H22" s="10">
        <v>1</v>
      </c>
      <c r="I22" s="10"/>
      <c r="J22" s="10"/>
    </row>
    <row r="23" spans="1:10" x14ac:dyDescent="0.3">
      <c r="A23" s="10" t="s">
        <v>223</v>
      </c>
      <c r="B23" s="10" t="s">
        <v>91</v>
      </c>
      <c r="C23" s="10" t="s">
        <v>224</v>
      </c>
      <c r="D23" s="10" t="s">
        <v>65</v>
      </c>
      <c r="E23" s="7" t="s">
        <v>20</v>
      </c>
      <c r="F23" s="11" t="s">
        <v>66</v>
      </c>
      <c r="G23" s="10">
        <v>1.5</v>
      </c>
      <c r="H23" s="10">
        <v>1.5</v>
      </c>
      <c r="I23" s="10"/>
      <c r="J23" s="10"/>
    </row>
    <row r="24" spans="1:10" x14ac:dyDescent="0.3">
      <c r="A24" s="10" t="s">
        <v>225</v>
      </c>
      <c r="B24" s="10" t="s">
        <v>91</v>
      </c>
      <c r="C24" s="10" t="s">
        <v>226</v>
      </c>
      <c r="D24" s="10" t="s">
        <v>65</v>
      </c>
      <c r="E24" s="7" t="s">
        <v>20</v>
      </c>
      <c r="F24" s="4" t="s">
        <v>100</v>
      </c>
      <c r="G24" s="10">
        <v>0.5</v>
      </c>
      <c r="H24" s="10">
        <v>0.5</v>
      </c>
      <c r="I24" s="10"/>
      <c r="J24" s="10"/>
    </row>
  </sheetData>
  <mergeCells count="1">
    <mergeCell ref="A1:J1"/>
  </mergeCells>
  <conditionalFormatting sqref="E5:E100">
    <cfRule type="cellIs" dxfId="11" priority="1" operator="equal">
      <formula>"Complete"</formula>
    </cfRule>
    <cfRule type="cellIs" dxfId="10" priority="2" operator="equal">
      <formula>"In Progress"</formula>
    </cfRule>
    <cfRule type="cellIs" dxfId="9" priority="3" operator="equal">
      <formula>"Blocked"</formula>
    </cfRule>
    <cfRule type="cellIs" dxfId="8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6" t="s">
        <v>227</v>
      </c>
      <c r="B1" s="34"/>
      <c r="C1" s="34"/>
      <c r="D1" s="34"/>
      <c r="E1" s="34"/>
      <c r="F1" s="34"/>
      <c r="G1" s="34"/>
      <c r="H1" s="34"/>
      <c r="I1" s="34"/>
      <c r="J1" s="34"/>
    </row>
    <row r="2" spans="1:10" x14ac:dyDescent="0.3">
      <c r="A2" t="s">
        <v>53</v>
      </c>
      <c r="B2" s="12" t="s">
        <v>28</v>
      </c>
    </row>
    <row r="4" spans="1:10" x14ac:dyDescent="0.3">
      <c r="A4" s="3" t="s">
        <v>54</v>
      </c>
      <c r="B4" s="3" t="s">
        <v>55</v>
      </c>
      <c r="C4" s="3" t="s">
        <v>56</v>
      </c>
      <c r="D4" s="3" t="s">
        <v>57</v>
      </c>
      <c r="E4" s="3" t="s">
        <v>13</v>
      </c>
      <c r="F4" s="3" t="s">
        <v>58</v>
      </c>
      <c r="G4" s="3" t="s">
        <v>59</v>
      </c>
      <c r="H4" s="3" t="s">
        <v>60</v>
      </c>
      <c r="I4" s="3" t="s">
        <v>61</v>
      </c>
      <c r="J4" s="3" t="s">
        <v>18</v>
      </c>
    </row>
    <row r="5" spans="1:10" x14ac:dyDescent="0.3">
      <c r="A5" s="10" t="s">
        <v>228</v>
      </c>
      <c r="B5" s="10" t="s">
        <v>63</v>
      </c>
      <c r="C5" s="10" t="s">
        <v>229</v>
      </c>
      <c r="D5" s="10" t="s">
        <v>65</v>
      </c>
      <c r="E5" s="7" t="s">
        <v>28</v>
      </c>
      <c r="F5" s="11" t="s">
        <v>66</v>
      </c>
      <c r="G5" s="10">
        <v>2</v>
      </c>
      <c r="H5" s="10">
        <v>0</v>
      </c>
      <c r="I5" s="10"/>
      <c r="J5" s="10"/>
    </row>
    <row r="6" spans="1:10" x14ac:dyDescent="0.3">
      <c r="A6" s="10" t="s">
        <v>230</v>
      </c>
      <c r="B6" s="10" t="s">
        <v>63</v>
      </c>
      <c r="C6" s="10" t="s">
        <v>231</v>
      </c>
      <c r="D6" s="10" t="s">
        <v>65</v>
      </c>
      <c r="E6" s="7" t="s">
        <v>28</v>
      </c>
      <c r="F6" s="11" t="s">
        <v>66</v>
      </c>
      <c r="G6" s="10">
        <v>1.5</v>
      </c>
      <c r="H6" s="10">
        <v>0</v>
      </c>
      <c r="I6" s="10"/>
      <c r="J6" s="10"/>
    </row>
    <row r="7" spans="1:10" x14ac:dyDescent="0.3">
      <c r="A7" s="10" t="s">
        <v>232</v>
      </c>
      <c r="B7" s="10" t="s">
        <v>63</v>
      </c>
      <c r="C7" s="10" t="s">
        <v>233</v>
      </c>
      <c r="D7" s="10" t="s">
        <v>65</v>
      </c>
      <c r="E7" s="7" t="s">
        <v>28</v>
      </c>
      <c r="F7" s="11" t="s">
        <v>66</v>
      </c>
      <c r="G7" s="10">
        <v>0.5</v>
      </c>
      <c r="H7" s="10">
        <v>0</v>
      </c>
      <c r="I7" s="10"/>
      <c r="J7" s="10"/>
    </row>
    <row r="8" spans="1:10" x14ac:dyDescent="0.3">
      <c r="A8" s="10" t="s">
        <v>234</v>
      </c>
      <c r="B8" s="10" t="s">
        <v>63</v>
      </c>
      <c r="C8" s="10" t="s">
        <v>235</v>
      </c>
      <c r="D8" s="10" t="s">
        <v>65</v>
      </c>
      <c r="E8" s="7" t="s">
        <v>28</v>
      </c>
      <c r="F8" s="4" t="s">
        <v>93</v>
      </c>
      <c r="G8" s="10">
        <v>1</v>
      </c>
      <c r="H8" s="10">
        <v>0</v>
      </c>
      <c r="I8" s="10"/>
      <c r="J8" s="10"/>
    </row>
    <row r="9" spans="1:10" x14ac:dyDescent="0.3">
      <c r="A9" s="10" t="s">
        <v>236</v>
      </c>
      <c r="B9" s="10" t="s">
        <v>74</v>
      </c>
      <c r="C9" s="10" t="s">
        <v>237</v>
      </c>
      <c r="D9" s="10" t="s">
        <v>65</v>
      </c>
      <c r="E9" s="7" t="s">
        <v>28</v>
      </c>
      <c r="F9" s="11" t="s">
        <v>66</v>
      </c>
      <c r="G9" s="10">
        <v>3</v>
      </c>
      <c r="H9" s="10">
        <v>0</v>
      </c>
      <c r="I9" s="10"/>
      <c r="J9" s="10"/>
    </row>
    <row r="10" spans="1:10" x14ac:dyDescent="0.3">
      <c r="A10" s="10" t="s">
        <v>238</v>
      </c>
      <c r="B10" s="10" t="s">
        <v>74</v>
      </c>
      <c r="C10" s="10" t="s">
        <v>239</v>
      </c>
      <c r="D10" s="10" t="s">
        <v>65</v>
      </c>
      <c r="E10" s="7" t="s">
        <v>28</v>
      </c>
      <c r="F10" s="11" t="s">
        <v>66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240</v>
      </c>
      <c r="B11" s="10" t="s">
        <v>82</v>
      </c>
      <c r="C11" s="10" t="s">
        <v>241</v>
      </c>
      <c r="D11" s="10" t="s">
        <v>65</v>
      </c>
      <c r="E11" s="7" t="s">
        <v>28</v>
      </c>
      <c r="F11" s="4" t="s">
        <v>93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242</v>
      </c>
      <c r="B12" s="10" t="s">
        <v>82</v>
      </c>
      <c r="C12" s="10" t="s">
        <v>243</v>
      </c>
      <c r="D12" s="10" t="s">
        <v>65</v>
      </c>
      <c r="E12" s="7" t="s">
        <v>28</v>
      </c>
      <c r="F12" s="11" t="s">
        <v>66</v>
      </c>
      <c r="G12" s="10">
        <v>1.5</v>
      </c>
      <c r="H12" s="10">
        <v>0</v>
      </c>
      <c r="I12" s="10"/>
      <c r="J12" s="10"/>
    </row>
    <row r="13" spans="1:10" x14ac:dyDescent="0.3">
      <c r="A13" s="10" t="s">
        <v>244</v>
      </c>
      <c r="B13" s="10" t="s">
        <v>82</v>
      </c>
      <c r="C13" s="10" t="s">
        <v>245</v>
      </c>
      <c r="D13" s="10" t="s">
        <v>65</v>
      </c>
      <c r="E13" s="7" t="s">
        <v>28</v>
      </c>
      <c r="F13" s="11" t="s">
        <v>66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246</v>
      </c>
      <c r="B14" s="10" t="s">
        <v>82</v>
      </c>
      <c r="C14" s="10" t="s">
        <v>247</v>
      </c>
      <c r="D14" s="10" t="s">
        <v>65</v>
      </c>
      <c r="E14" s="7" t="s">
        <v>28</v>
      </c>
      <c r="F14" s="4" t="s">
        <v>93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248</v>
      </c>
      <c r="B15" s="10" t="s">
        <v>86</v>
      </c>
      <c r="C15" s="10" t="s">
        <v>249</v>
      </c>
      <c r="D15" s="10" t="s">
        <v>65</v>
      </c>
      <c r="E15" s="7" t="s">
        <v>28</v>
      </c>
      <c r="F15" s="11" t="s">
        <v>66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250</v>
      </c>
      <c r="B16" s="10" t="s">
        <v>86</v>
      </c>
      <c r="C16" s="10" t="s">
        <v>251</v>
      </c>
      <c r="D16" s="10" t="s">
        <v>65</v>
      </c>
      <c r="E16" s="7" t="s">
        <v>28</v>
      </c>
      <c r="F16" s="11" t="s">
        <v>66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252</v>
      </c>
      <c r="B17" s="10" t="s">
        <v>86</v>
      </c>
      <c r="C17" s="10" t="s">
        <v>253</v>
      </c>
      <c r="D17" s="10" t="s">
        <v>65</v>
      </c>
      <c r="E17" s="7" t="s">
        <v>28</v>
      </c>
      <c r="F17" s="11" t="s">
        <v>66</v>
      </c>
      <c r="G17" s="10">
        <v>1</v>
      </c>
      <c r="H17" s="10">
        <v>0</v>
      </c>
      <c r="I17" s="10"/>
      <c r="J17" s="10"/>
    </row>
    <row r="18" spans="1:10" x14ac:dyDescent="0.3">
      <c r="A18" s="10" t="s">
        <v>254</v>
      </c>
      <c r="B18" s="10" t="s">
        <v>86</v>
      </c>
      <c r="C18" s="10" t="s">
        <v>255</v>
      </c>
      <c r="D18" s="10" t="s">
        <v>65</v>
      </c>
      <c r="E18" s="7" t="s">
        <v>28</v>
      </c>
      <c r="F18" s="11" t="s">
        <v>66</v>
      </c>
      <c r="G18" s="10">
        <v>0.5</v>
      </c>
      <c r="H18" s="10">
        <v>0</v>
      </c>
      <c r="I18" s="10"/>
      <c r="J18" s="10"/>
    </row>
    <row r="19" spans="1:10" x14ac:dyDescent="0.3">
      <c r="A19" s="10" t="s">
        <v>256</v>
      </c>
      <c r="B19" s="10" t="s">
        <v>86</v>
      </c>
      <c r="C19" s="10" t="s">
        <v>257</v>
      </c>
      <c r="D19" s="10" t="s">
        <v>65</v>
      </c>
      <c r="E19" s="7" t="s">
        <v>28</v>
      </c>
      <c r="F19" s="4" t="s">
        <v>93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258</v>
      </c>
      <c r="B20" s="10" t="s">
        <v>91</v>
      </c>
      <c r="C20" s="10" t="s">
        <v>259</v>
      </c>
      <c r="D20" s="10" t="s">
        <v>65</v>
      </c>
      <c r="E20" s="7" t="s">
        <v>28</v>
      </c>
      <c r="F20" s="11" t="s">
        <v>66</v>
      </c>
      <c r="G20" s="10">
        <v>2</v>
      </c>
      <c r="H20" s="10">
        <v>0</v>
      </c>
      <c r="I20" s="10"/>
      <c r="J20" s="10"/>
    </row>
    <row r="21" spans="1:10" x14ac:dyDescent="0.3">
      <c r="A21" s="10" t="s">
        <v>260</v>
      </c>
      <c r="B21" s="10" t="s">
        <v>91</v>
      </c>
      <c r="C21" s="10" t="s">
        <v>261</v>
      </c>
      <c r="D21" s="10" t="s">
        <v>65</v>
      </c>
      <c r="E21" s="7" t="s">
        <v>28</v>
      </c>
      <c r="F21" s="11" t="s">
        <v>66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262</v>
      </c>
      <c r="B22" s="10" t="s">
        <v>91</v>
      </c>
      <c r="C22" s="10" t="s">
        <v>263</v>
      </c>
      <c r="D22" s="10" t="s">
        <v>65</v>
      </c>
      <c r="E22" s="7" t="s">
        <v>28</v>
      </c>
      <c r="F22" s="11" t="s">
        <v>66</v>
      </c>
      <c r="G22" s="10">
        <v>1.5</v>
      </c>
      <c r="H22" s="10">
        <v>0</v>
      </c>
      <c r="I22" s="10"/>
      <c r="J22" s="10"/>
    </row>
    <row r="23" spans="1:10" x14ac:dyDescent="0.3">
      <c r="A23" s="10" t="s">
        <v>264</v>
      </c>
      <c r="B23" s="10" t="s">
        <v>91</v>
      </c>
      <c r="C23" s="10" t="s">
        <v>265</v>
      </c>
      <c r="D23" s="10" t="s">
        <v>65</v>
      </c>
      <c r="E23" s="7" t="s">
        <v>28</v>
      </c>
      <c r="F23" s="4" t="s">
        <v>100</v>
      </c>
      <c r="G23" s="10">
        <v>0.5</v>
      </c>
      <c r="H23" s="10">
        <v>0</v>
      </c>
      <c r="I23" s="10"/>
      <c r="J23" s="10"/>
    </row>
  </sheetData>
  <mergeCells count="1">
    <mergeCell ref="A1:J1"/>
  </mergeCells>
  <conditionalFormatting sqref="E5:E100">
    <cfRule type="cellIs" dxfId="7" priority="1" operator="equal">
      <formula>"Complete"</formula>
    </cfRule>
    <cfRule type="cellIs" dxfId="6" priority="2" operator="equal">
      <formula>"In Progress"</formula>
    </cfRule>
    <cfRule type="cellIs" dxfId="5" priority="3" operator="equal">
      <formula>"Blocked"</formula>
    </cfRule>
    <cfRule type="cellIs" dxfId="4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6" t="s">
        <v>266</v>
      </c>
      <c r="B1" s="34"/>
      <c r="C1" s="34"/>
      <c r="D1" s="34"/>
      <c r="E1" s="34"/>
      <c r="F1" s="34"/>
      <c r="G1" s="34"/>
      <c r="H1" s="34"/>
      <c r="I1" s="34"/>
      <c r="J1" s="34"/>
    </row>
    <row r="2" spans="1:10" x14ac:dyDescent="0.3">
      <c r="A2" t="s">
        <v>53</v>
      </c>
      <c r="B2" s="12" t="s">
        <v>28</v>
      </c>
    </row>
    <row r="4" spans="1:10" x14ac:dyDescent="0.3">
      <c r="A4" s="3" t="s">
        <v>54</v>
      </c>
      <c r="B4" s="3" t="s">
        <v>55</v>
      </c>
      <c r="C4" s="3" t="s">
        <v>56</v>
      </c>
      <c r="D4" s="3" t="s">
        <v>57</v>
      </c>
      <c r="E4" s="3" t="s">
        <v>13</v>
      </c>
      <c r="F4" s="3" t="s">
        <v>58</v>
      </c>
      <c r="G4" s="3" t="s">
        <v>59</v>
      </c>
      <c r="H4" s="3" t="s">
        <v>60</v>
      </c>
      <c r="I4" s="3" t="s">
        <v>61</v>
      </c>
      <c r="J4" s="3" t="s">
        <v>18</v>
      </c>
    </row>
    <row r="5" spans="1:10" x14ac:dyDescent="0.3">
      <c r="A5" s="10" t="s">
        <v>267</v>
      </c>
      <c r="B5" s="10" t="s">
        <v>63</v>
      </c>
      <c r="C5" s="10" t="s">
        <v>268</v>
      </c>
      <c r="D5" s="10" t="s">
        <v>65</v>
      </c>
      <c r="E5" s="7" t="s">
        <v>28</v>
      </c>
      <c r="F5" s="11" t="s">
        <v>66</v>
      </c>
      <c r="G5" s="10">
        <v>2</v>
      </c>
      <c r="H5" s="10">
        <v>0</v>
      </c>
      <c r="I5" s="10"/>
      <c r="J5" s="10"/>
    </row>
    <row r="6" spans="1:10" x14ac:dyDescent="0.3">
      <c r="A6" s="10" t="s">
        <v>269</v>
      </c>
      <c r="B6" s="10" t="s">
        <v>63</v>
      </c>
      <c r="C6" s="10" t="s">
        <v>270</v>
      </c>
      <c r="D6" s="10" t="s">
        <v>65</v>
      </c>
      <c r="E6" s="7" t="s">
        <v>28</v>
      </c>
      <c r="F6" s="11" t="s">
        <v>66</v>
      </c>
      <c r="G6" s="10">
        <v>1.5</v>
      </c>
      <c r="H6" s="10">
        <v>0</v>
      </c>
      <c r="I6" s="10"/>
      <c r="J6" s="10"/>
    </row>
    <row r="7" spans="1:10" x14ac:dyDescent="0.3">
      <c r="A7" s="10" t="s">
        <v>271</v>
      </c>
      <c r="B7" s="10" t="s">
        <v>63</v>
      </c>
      <c r="C7" s="10" t="s">
        <v>272</v>
      </c>
      <c r="D7" s="10" t="s">
        <v>65</v>
      </c>
      <c r="E7" s="7" t="s">
        <v>28</v>
      </c>
      <c r="F7" s="11" t="s">
        <v>66</v>
      </c>
      <c r="G7" s="10">
        <v>0.5</v>
      </c>
      <c r="H7" s="10">
        <v>0</v>
      </c>
      <c r="I7" s="10"/>
      <c r="J7" s="10"/>
    </row>
    <row r="8" spans="1:10" x14ac:dyDescent="0.3">
      <c r="A8" s="10" t="s">
        <v>273</v>
      </c>
      <c r="B8" s="10" t="s">
        <v>63</v>
      </c>
      <c r="C8" s="10" t="s">
        <v>274</v>
      </c>
      <c r="D8" s="10" t="s">
        <v>65</v>
      </c>
      <c r="E8" s="7" t="s">
        <v>28</v>
      </c>
      <c r="F8" s="11" t="s">
        <v>66</v>
      </c>
      <c r="G8" s="10">
        <v>1</v>
      </c>
      <c r="H8" s="10">
        <v>0</v>
      </c>
      <c r="I8" s="10"/>
      <c r="J8" s="10"/>
    </row>
    <row r="9" spans="1:10" x14ac:dyDescent="0.3">
      <c r="A9" s="10" t="s">
        <v>275</v>
      </c>
      <c r="B9" s="10" t="s">
        <v>74</v>
      </c>
      <c r="C9" s="10" t="s">
        <v>276</v>
      </c>
      <c r="D9" s="10" t="s">
        <v>65</v>
      </c>
      <c r="E9" s="7" t="s">
        <v>28</v>
      </c>
      <c r="F9" s="11" t="s">
        <v>66</v>
      </c>
      <c r="G9" s="10">
        <v>2</v>
      </c>
      <c r="H9" s="10">
        <v>0</v>
      </c>
      <c r="I9" s="10"/>
      <c r="J9" s="10"/>
    </row>
    <row r="10" spans="1:10" x14ac:dyDescent="0.3">
      <c r="A10" s="10" t="s">
        <v>277</v>
      </c>
      <c r="B10" s="10" t="s">
        <v>74</v>
      </c>
      <c r="C10" s="10" t="s">
        <v>278</v>
      </c>
      <c r="D10" s="10" t="s">
        <v>65</v>
      </c>
      <c r="E10" s="7" t="s">
        <v>28</v>
      </c>
      <c r="F10" s="11" t="s">
        <v>66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279</v>
      </c>
      <c r="B11" s="10" t="s">
        <v>74</v>
      </c>
      <c r="C11" s="10" t="s">
        <v>280</v>
      </c>
      <c r="D11" s="10" t="s">
        <v>65</v>
      </c>
      <c r="E11" s="7" t="s">
        <v>28</v>
      </c>
      <c r="F11" s="11" t="s">
        <v>66</v>
      </c>
      <c r="G11" s="10">
        <v>1.5</v>
      </c>
      <c r="H11" s="10">
        <v>0</v>
      </c>
      <c r="I11" s="10"/>
      <c r="J11" s="10"/>
    </row>
    <row r="12" spans="1:10" x14ac:dyDescent="0.3">
      <c r="A12" s="10" t="s">
        <v>281</v>
      </c>
      <c r="B12" s="10" t="s">
        <v>82</v>
      </c>
      <c r="C12" s="10" t="s">
        <v>282</v>
      </c>
      <c r="D12" s="10" t="s">
        <v>65</v>
      </c>
      <c r="E12" s="7" t="s">
        <v>28</v>
      </c>
      <c r="F12" s="11" t="s">
        <v>66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283</v>
      </c>
      <c r="B13" s="10" t="s">
        <v>82</v>
      </c>
      <c r="C13" s="10" t="s">
        <v>284</v>
      </c>
      <c r="D13" s="10" t="s">
        <v>65</v>
      </c>
      <c r="E13" s="7" t="s">
        <v>28</v>
      </c>
      <c r="F13" s="11" t="s">
        <v>66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285</v>
      </c>
      <c r="B14" s="10" t="s">
        <v>82</v>
      </c>
      <c r="C14" s="10" t="s">
        <v>286</v>
      </c>
      <c r="D14" s="10" t="s">
        <v>65</v>
      </c>
      <c r="E14" s="7" t="s">
        <v>28</v>
      </c>
      <c r="F14" s="4" t="s">
        <v>93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287</v>
      </c>
      <c r="B15" s="10" t="s">
        <v>82</v>
      </c>
      <c r="C15" s="10" t="s">
        <v>288</v>
      </c>
      <c r="D15" s="10" t="s">
        <v>65</v>
      </c>
      <c r="E15" s="7" t="s">
        <v>28</v>
      </c>
      <c r="F15" s="4" t="s">
        <v>100</v>
      </c>
      <c r="G15" s="10">
        <v>0.5</v>
      </c>
      <c r="H15" s="10">
        <v>0</v>
      </c>
      <c r="I15" s="10"/>
      <c r="J15" s="10"/>
    </row>
    <row r="16" spans="1:10" x14ac:dyDescent="0.3">
      <c r="A16" s="10" t="s">
        <v>289</v>
      </c>
      <c r="B16" s="10" t="s">
        <v>86</v>
      </c>
      <c r="C16" s="10" t="s">
        <v>290</v>
      </c>
      <c r="D16" s="10" t="s">
        <v>65</v>
      </c>
      <c r="E16" s="7" t="s">
        <v>28</v>
      </c>
      <c r="F16" s="4" t="s">
        <v>93</v>
      </c>
      <c r="G16" s="10">
        <v>1.5</v>
      </c>
      <c r="H16" s="10">
        <v>0</v>
      </c>
      <c r="I16" s="10"/>
      <c r="J16" s="10"/>
    </row>
    <row r="17" spans="1:10" x14ac:dyDescent="0.3">
      <c r="A17" s="10" t="s">
        <v>291</v>
      </c>
      <c r="B17" s="10" t="s">
        <v>86</v>
      </c>
      <c r="C17" s="10" t="s">
        <v>292</v>
      </c>
      <c r="D17" s="10" t="s">
        <v>65</v>
      </c>
      <c r="E17" s="7" t="s">
        <v>28</v>
      </c>
      <c r="F17" s="4" t="s">
        <v>93</v>
      </c>
      <c r="G17" s="10">
        <v>1.5</v>
      </c>
      <c r="H17" s="10">
        <v>0</v>
      </c>
      <c r="I17" s="10"/>
      <c r="J17" s="10"/>
    </row>
    <row r="18" spans="1:10" x14ac:dyDescent="0.3">
      <c r="A18" s="10" t="s">
        <v>293</v>
      </c>
      <c r="B18" s="10" t="s">
        <v>86</v>
      </c>
      <c r="C18" s="10" t="s">
        <v>294</v>
      </c>
      <c r="D18" s="10" t="s">
        <v>65</v>
      </c>
      <c r="E18" s="7" t="s">
        <v>28</v>
      </c>
      <c r="F18" s="4" t="s">
        <v>93</v>
      </c>
      <c r="G18" s="10">
        <v>1</v>
      </c>
      <c r="H18" s="10">
        <v>0</v>
      </c>
      <c r="I18" s="10"/>
      <c r="J18" s="10"/>
    </row>
    <row r="19" spans="1:10" x14ac:dyDescent="0.3">
      <c r="A19" s="10" t="s">
        <v>295</v>
      </c>
      <c r="B19" s="10" t="s">
        <v>86</v>
      </c>
      <c r="C19" s="10" t="s">
        <v>296</v>
      </c>
      <c r="D19" s="10" t="s">
        <v>65</v>
      </c>
      <c r="E19" s="7" t="s">
        <v>28</v>
      </c>
      <c r="F19" s="4" t="s">
        <v>100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297</v>
      </c>
      <c r="B20" s="10" t="s">
        <v>91</v>
      </c>
      <c r="C20" s="10" t="s">
        <v>298</v>
      </c>
      <c r="D20" s="10" t="s">
        <v>65</v>
      </c>
      <c r="E20" s="7" t="s">
        <v>28</v>
      </c>
      <c r="F20" s="11" t="s">
        <v>66</v>
      </c>
      <c r="G20" s="10">
        <v>2</v>
      </c>
      <c r="H20" s="10">
        <v>0</v>
      </c>
      <c r="I20" s="10"/>
      <c r="J20" s="10"/>
    </row>
    <row r="21" spans="1:10" x14ac:dyDescent="0.3">
      <c r="A21" s="10" t="s">
        <v>299</v>
      </c>
      <c r="B21" s="10" t="s">
        <v>91</v>
      </c>
      <c r="C21" s="10" t="s">
        <v>300</v>
      </c>
      <c r="D21" s="10" t="s">
        <v>65</v>
      </c>
      <c r="E21" s="7" t="s">
        <v>28</v>
      </c>
      <c r="F21" s="11" t="s">
        <v>66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301</v>
      </c>
      <c r="B22" s="10" t="s">
        <v>91</v>
      </c>
      <c r="C22" s="10" t="s">
        <v>302</v>
      </c>
      <c r="D22" s="10" t="s">
        <v>65</v>
      </c>
      <c r="E22" s="7" t="s">
        <v>28</v>
      </c>
      <c r="F22" s="11" t="s">
        <v>66</v>
      </c>
      <c r="G22" s="10">
        <v>1</v>
      </c>
      <c r="H22" s="10">
        <v>0</v>
      </c>
      <c r="I22" s="10"/>
      <c r="J22" s="10"/>
    </row>
    <row r="23" spans="1:10" x14ac:dyDescent="0.3">
      <c r="A23" s="10" t="s">
        <v>303</v>
      </c>
      <c r="B23" s="10" t="s">
        <v>91</v>
      </c>
      <c r="C23" s="10" t="s">
        <v>304</v>
      </c>
      <c r="D23" s="10" t="s">
        <v>65</v>
      </c>
      <c r="E23" s="7" t="s">
        <v>28</v>
      </c>
      <c r="F23" s="11" t="s">
        <v>66</v>
      </c>
      <c r="G23" s="10">
        <v>0.5</v>
      </c>
      <c r="H23" s="10">
        <v>0</v>
      </c>
      <c r="I23" s="10"/>
      <c r="J23" s="10"/>
    </row>
    <row r="24" spans="1:10" x14ac:dyDescent="0.3">
      <c r="A24" s="10" t="s">
        <v>305</v>
      </c>
      <c r="B24" s="10" t="s">
        <v>91</v>
      </c>
      <c r="C24" s="10" t="s">
        <v>306</v>
      </c>
      <c r="D24" s="10" t="s">
        <v>65</v>
      </c>
      <c r="E24" s="7" t="s">
        <v>28</v>
      </c>
      <c r="F24" s="11" t="s">
        <v>66</v>
      </c>
      <c r="G24" s="10">
        <v>1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3" priority="1" operator="equal">
      <formula>"Complete"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G9" sqref="G9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37" t="s">
        <v>307</v>
      </c>
      <c r="B1" s="34"/>
      <c r="C1" s="34"/>
      <c r="D1" s="34"/>
      <c r="E1" s="34"/>
      <c r="F1" s="34"/>
      <c r="G1" s="34"/>
      <c r="H1" s="34"/>
      <c r="I1" s="34"/>
    </row>
    <row r="3" spans="1:9" x14ac:dyDescent="0.3">
      <c r="A3" s="3" t="s">
        <v>308</v>
      </c>
      <c r="B3" s="3" t="s">
        <v>11</v>
      </c>
      <c r="C3" s="3" t="s">
        <v>54</v>
      </c>
      <c r="D3" s="3" t="s">
        <v>12</v>
      </c>
      <c r="E3" s="3" t="s">
        <v>309</v>
      </c>
      <c r="F3" s="3" t="s">
        <v>13</v>
      </c>
      <c r="G3" s="3" t="s">
        <v>57</v>
      </c>
      <c r="H3" s="3" t="s">
        <v>310</v>
      </c>
      <c r="I3" s="3" t="s">
        <v>311</v>
      </c>
    </row>
    <row r="4" spans="1:9" ht="79.95" customHeight="1" x14ac:dyDescent="0.3">
      <c r="A4" s="17" t="s">
        <v>312</v>
      </c>
      <c r="B4" s="17" t="s">
        <v>313</v>
      </c>
      <c r="C4" s="17" t="s">
        <v>108</v>
      </c>
      <c r="D4" s="17" t="s">
        <v>314</v>
      </c>
      <c r="E4" s="18" t="s">
        <v>66</v>
      </c>
      <c r="F4" s="17" t="s">
        <v>318</v>
      </c>
      <c r="G4" s="17" t="s">
        <v>65</v>
      </c>
      <c r="H4" s="17" t="s">
        <v>315</v>
      </c>
      <c r="I4" s="19">
        <v>45974</v>
      </c>
    </row>
    <row r="5" spans="1:9" s="39" customFormat="1" ht="69" x14ac:dyDescent="0.3">
      <c r="A5" s="20" t="s">
        <v>316</v>
      </c>
      <c r="B5" s="20" t="s">
        <v>313</v>
      </c>
      <c r="C5" s="20" t="s">
        <v>112</v>
      </c>
      <c r="D5" s="20" t="s">
        <v>317</v>
      </c>
      <c r="E5" s="23" t="s">
        <v>66</v>
      </c>
      <c r="F5" s="20" t="s">
        <v>318</v>
      </c>
      <c r="G5" s="20" t="s">
        <v>65</v>
      </c>
      <c r="H5" s="21" t="s">
        <v>319</v>
      </c>
      <c r="I5" s="22">
        <v>45975</v>
      </c>
    </row>
    <row r="6" spans="1:9" ht="41.4" x14ac:dyDescent="0.3">
      <c r="A6" s="40" t="s">
        <v>413</v>
      </c>
      <c r="B6" s="40" t="s">
        <v>404</v>
      </c>
      <c r="C6" s="40" t="s">
        <v>216</v>
      </c>
      <c r="D6" s="40" t="s">
        <v>412</v>
      </c>
      <c r="E6" s="43" t="s">
        <v>93</v>
      </c>
      <c r="F6" s="40" t="s">
        <v>318</v>
      </c>
      <c r="G6" s="40" t="s">
        <v>65</v>
      </c>
      <c r="H6" s="42" t="s">
        <v>414</v>
      </c>
      <c r="I6" s="41">
        <v>46017</v>
      </c>
    </row>
  </sheetData>
  <mergeCells count="1">
    <mergeCell ref="A1:I1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"/>
  <sheetViews>
    <sheetView workbookViewId="0">
      <selection activeCell="F16" sqref="F16"/>
    </sheetView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36" t="s">
        <v>320</v>
      </c>
      <c r="B1" s="34"/>
      <c r="C1" s="34"/>
      <c r="D1" s="34"/>
      <c r="E1" s="34"/>
      <c r="F1" s="34"/>
    </row>
    <row r="3" spans="1:6" x14ac:dyDescent="0.3">
      <c r="A3" s="3" t="s">
        <v>321</v>
      </c>
      <c r="B3" s="3" t="s">
        <v>322</v>
      </c>
      <c r="C3" s="3" t="s">
        <v>323</v>
      </c>
      <c r="D3" s="3" t="s">
        <v>324</v>
      </c>
      <c r="E3" s="3" t="s">
        <v>12</v>
      </c>
      <c r="F3" s="3" t="s">
        <v>309</v>
      </c>
    </row>
    <row r="4" spans="1:6" x14ac:dyDescent="0.3">
      <c r="A4" s="24">
        <v>45967</v>
      </c>
      <c r="B4" s="14" t="s">
        <v>65</v>
      </c>
      <c r="C4" s="14" t="s">
        <v>372</v>
      </c>
      <c r="D4" s="14" t="s">
        <v>373</v>
      </c>
      <c r="E4" s="14" t="s">
        <v>374</v>
      </c>
      <c r="F4" s="14" t="s">
        <v>100</v>
      </c>
    </row>
    <row r="5" spans="1:6" x14ac:dyDescent="0.3">
      <c r="A5" s="25">
        <v>45974</v>
      </c>
      <c r="B5" s="10" t="s">
        <v>65</v>
      </c>
      <c r="C5" s="10" t="s">
        <v>313</v>
      </c>
      <c r="D5" s="10" t="s">
        <v>325</v>
      </c>
      <c r="E5" s="10" t="s">
        <v>326</v>
      </c>
      <c r="F5" s="10" t="s">
        <v>66</v>
      </c>
    </row>
    <row r="6" spans="1:6" x14ac:dyDescent="0.3">
      <c r="A6" s="30">
        <v>45975</v>
      </c>
      <c r="B6" s="31" t="s">
        <v>65</v>
      </c>
      <c r="C6" s="31" t="s">
        <v>313</v>
      </c>
      <c r="D6" s="31" t="s">
        <v>325</v>
      </c>
      <c r="E6" s="31" t="s">
        <v>375</v>
      </c>
      <c r="F6" s="31" t="s">
        <v>66</v>
      </c>
    </row>
    <row r="7" spans="1:6" s="44" customFormat="1" x14ac:dyDescent="0.3">
      <c r="A7" s="32">
        <v>45987</v>
      </c>
      <c r="B7" s="10" t="s">
        <v>65</v>
      </c>
      <c r="C7" s="10" t="s">
        <v>313</v>
      </c>
      <c r="D7" s="10" t="s">
        <v>373</v>
      </c>
      <c r="E7" s="10" t="s">
        <v>396</v>
      </c>
      <c r="F7" s="10" t="s">
        <v>66</v>
      </c>
    </row>
    <row r="8" spans="1:6" s="44" customFormat="1" x14ac:dyDescent="0.3">
      <c r="A8" s="32">
        <v>45998</v>
      </c>
      <c r="B8" s="10" t="s">
        <v>65</v>
      </c>
      <c r="C8" s="10" t="s">
        <v>395</v>
      </c>
      <c r="D8" s="10" t="s">
        <v>373</v>
      </c>
      <c r="E8" s="10" t="s">
        <v>397</v>
      </c>
      <c r="F8" s="10" t="s">
        <v>93</v>
      </c>
    </row>
    <row r="9" spans="1:6" s="44" customFormat="1" x14ac:dyDescent="0.3">
      <c r="A9" s="32">
        <v>46006</v>
      </c>
      <c r="B9" s="38" t="s">
        <v>65</v>
      </c>
      <c r="C9" s="38" t="s">
        <v>404</v>
      </c>
      <c r="D9" s="38" t="s">
        <v>405</v>
      </c>
      <c r="E9" s="38" t="s">
        <v>406</v>
      </c>
      <c r="F9" s="38" t="s">
        <v>93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>
      <selection sqref="A1:F1"/>
    </sheetView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36" t="s">
        <v>327</v>
      </c>
      <c r="B1" s="34"/>
      <c r="C1" s="34"/>
      <c r="D1" s="34"/>
      <c r="E1" s="34"/>
      <c r="F1" s="34"/>
    </row>
    <row r="4" spans="1:6" ht="15.6" customHeight="1" x14ac:dyDescent="0.3">
      <c r="A4" s="33" t="s">
        <v>328</v>
      </c>
      <c r="B4" s="34"/>
      <c r="C4" s="34"/>
      <c r="D4" s="34"/>
      <c r="E4" s="34"/>
      <c r="F4" s="34"/>
    </row>
    <row r="5" spans="1:6" x14ac:dyDescent="0.3">
      <c r="A5" s="1" t="s">
        <v>329</v>
      </c>
      <c r="B5" t="s">
        <v>330</v>
      </c>
    </row>
    <row r="6" spans="1:6" x14ac:dyDescent="0.3">
      <c r="A6" s="1" t="s">
        <v>331</v>
      </c>
      <c r="B6" t="s">
        <v>332</v>
      </c>
    </row>
    <row r="7" spans="1:6" x14ac:dyDescent="0.3">
      <c r="A7" s="1" t="s">
        <v>333</v>
      </c>
      <c r="B7" t="s">
        <v>334</v>
      </c>
    </row>
    <row r="8" spans="1:6" x14ac:dyDescent="0.3">
      <c r="A8" s="1" t="s">
        <v>335</v>
      </c>
      <c r="B8" t="s">
        <v>336</v>
      </c>
    </row>
    <row r="10" spans="1:6" ht="15.6" customHeight="1" x14ac:dyDescent="0.3">
      <c r="A10" s="33" t="s">
        <v>337</v>
      </c>
      <c r="B10" s="34"/>
      <c r="C10" s="34"/>
      <c r="D10" s="34"/>
      <c r="E10" s="34"/>
      <c r="F10" s="34"/>
    </row>
    <row r="11" spans="1:6" x14ac:dyDescent="0.3">
      <c r="A11" s="1" t="s">
        <v>338</v>
      </c>
      <c r="B11" t="s">
        <v>339</v>
      </c>
    </row>
    <row r="12" spans="1:6" x14ac:dyDescent="0.3">
      <c r="A12" s="1" t="s">
        <v>340</v>
      </c>
      <c r="B12" t="s">
        <v>341</v>
      </c>
    </row>
    <row r="13" spans="1:6" x14ac:dyDescent="0.3">
      <c r="A13" s="1" t="s">
        <v>342</v>
      </c>
      <c r="B13" t="s">
        <v>343</v>
      </c>
    </row>
    <row r="14" spans="1:6" x14ac:dyDescent="0.3">
      <c r="A14" s="1" t="s">
        <v>344</v>
      </c>
      <c r="B14" t="s">
        <v>345</v>
      </c>
    </row>
    <row r="16" spans="1:6" ht="15.6" customHeight="1" x14ac:dyDescent="0.3">
      <c r="A16" s="33" t="s">
        <v>346</v>
      </c>
      <c r="B16" s="34"/>
      <c r="C16" s="34"/>
      <c r="D16" s="34"/>
      <c r="E16" s="34"/>
      <c r="F16" s="34"/>
    </row>
    <row r="17" spans="1:6" x14ac:dyDescent="0.3">
      <c r="A17" s="1" t="s">
        <v>347</v>
      </c>
      <c r="B17" t="s">
        <v>348</v>
      </c>
    </row>
    <row r="18" spans="1:6" x14ac:dyDescent="0.3">
      <c r="A18" s="1" t="s">
        <v>349</v>
      </c>
      <c r="B18" t="s">
        <v>350</v>
      </c>
    </row>
    <row r="19" spans="1:6" x14ac:dyDescent="0.3">
      <c r="A19" s="1" t="s">
        <v>351</v>
      </c>
      <c r="B19" t="s">
        <v>352</v>
      </c>
    </row>
    <row r="20" spans="1:6" x14ac:dyDescent="0.3">
      <c r="A20" s="1" t="s">
        <v>353</v>
      </c>
      <c r="B20" t="s">
        <v>354</v>
      </c>
    </row>
    <row r="22" spans="1:6" ht="15.6" customHeight="1" x14ac:dyDescent="0.3">
      <c r="A22" s="33" t="s">
        <v>355</v>
      </c>
      <c r="B22" s="34"/>
      <c r="C22" s="34"/>
      <c r="D22" s="34"/>
      <c r="E22" s="34"/>
      <c r="F22" s="34"/>
    </row>
    <row r="23" spans="1:6" x14ac:dyDescent="0.3">
      <c r="A23" s="1" t="s">
        <v>356</v>
      </c>
      <c r="B23" t="s">
        <v>357</v>
      </c>
    </row>
    <row r="24" spans="1:6" x14ac:dyDescent="0.3">
      <c r="A24" s="1" t="s">
        <v>358</v>
      </c>
      <c r="B24" t="s">
        <v>359</v>
      </c>
    </row>
    <row r="25" spans="1:6" x14ac:dyDescent="0.3">
      <c r="A25" s="1" t="s">
        <v>360</v>
      </c>
      <c r="B25" t="s">
        <v>361</v>
      </c>
    </row>
    <row r="27" spans="1:6" ht="15.6" customHeight="1" x14ac:dyDescent="0.3">
      <c r="A27" s="33" t="s">
        <v>362</v>
      </c>
      <c r="B27" s="34"/>
      <c r="C27" s="34"/>
      <c r="D27" s="34"/>
      <c r="E27" s="34"/>
      <c r="F27" s="34"/>
    </row>
    <row r="28" spans="1:6" x14ac:dyDescent="0.3">
      <c r="A28" s="1" t="s">
        <v>363</v>
      </c>
      <c r="B28" t="s">
        <v>364</v>
      </c>
    </row>
    <row r="29" spans="1:6" x14ac:dyDescent="0.3">
      <c r="A29" s="1" t="s">
        <v>365</v>
      </c>
      <c r="B29" t="s">
        <v>366</v>
      </c>
    </row>
    <row r="30" spans="1:6" x14ac:dyDescent="0.3">
      <c r="A30" s="1" t="s">
        <v>367</v>
      </c>
      <c r="B30" t="s">
        <v>368</v>
      </c>
    </row>
    <row r="31" spans="1:6" x14ac:dyDescent="0.3">
      <c r="A31" s="1" t="s">
        <v>369</v>
      </c>
      <c r="B31" t="s">
        <v>370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2025-12-30T16:42:37Z</dcterms:modified>
</cp:coreProperties>
</file>