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otbelly-my.sharepoint.com/personal/anicia_clayton_potbelly_com/Documents/Desktop/linguallearn-portfolio/docs/"/>
    </mc:Choice>
  </mc:AlternateContent>
  <xr:revisionPtr revIDLastSave="967" documentId="8_{C9C18196-394D-4E08-AEE3-4532190AC77C}" xr6:coauthVersionLast="47" xr6:coauthVersionMax="47" xr10:uidLastSave="{32AA86B7-68A8-447D-A716-53DE05E7BA25}"/>
  <bookViews>
    <workbookView xWindow="-108" yWindow="-108" windowWidth="23256" windowHeight="12456" firstSheet="4" activeTab="8" xr2:uid="{00000000-000D-0000-FFFF-FFFF00000000}"/>
  </bookViews>
  <sheets>
    <sheet name="📊 Project Overview" sheetId="1" r:id="rId1"/>
    <sheet name="Phase 1 - Infrastructure" sheetId="2" r:id="rId2"/>
    <sheet name="Phase 2 - API &amp; Compute" sheetId="3" r:id="rId3"/>
    <sheet name="Phase 3 - Multi-Modal" sheetId="4" r:id="rId4"/>
    <sheet name="Phase 4 - ML Integration" sheetId="5" r:id="rId5"/>
    <sheet name="Phase 5 - Monitoring" sheetId="6" r:id="rId6"/>
    <sheet name="Phase 6 - CICD" sheetId="7" r:id="rId7"/>
    <sheet name="⚠️ Blockers &amp; Risks" sheetId="8" r:id="rId8"/>
    <sheet name="📝 Change Log" sheetId="9" r:id="rId9"/>
    <sheet name="📖 How to Us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  <c r="B24" i="1"/>
  <c r="G20" i="1"/>
  <c r="G19" i="1"/>
  <c r="G18" i="1"/>
  <c r="G17" i="1"/>
  <c r="G16" i="1"/>
  <c r="G15" i="1"/>
</calcChain>
</file>

<file path=xl/sharedStrings.xml><?xml version="1.0" encoding="utf-8"?>
<sst xmlns="http://schemas.openxmlformats.org/spreadsheetml/2006/main" count="1196" uniqueCount="501">
  <si>
    <t>LINGUALLEARN AI - PROJECT TRACKER</t>
  </si>
  <si>
    <t>Project Name:</t>
  </si>
  <si>
    <t>LinguaLearn AI</t>
  </si>
  <si>
    <t>Project Type:</t>
  </si>
  <si>
    <t>Duration:</t>
  </si>
  <si>
    <t>Start Date:</t>
  </si>
  <si>
    <t>Week 1 Complete</t>
  </si>
  <si>
    <t>Current Phase:</t>
  </si>
  <si>
    <t>Overall Status:</t>
  </si>
  <si>
    <t>Tech Stack:</t>
  </si>
  <si>
    <t>PHASE SUMMARY</t>
  </si>
  <si>
    <t>Phase</t>
  </si>
  <si>
    <t>Description</t>
  </si>
  <si>
    <t>Status</t>
  </si>
  <si>
    <t>Start Date</t>
  </si>
  <si>
    <t>Target End</t>
  </si>
  <si>
    <t>Completion %</t>
  </si>
  <si>
    <t>Blocker Count</t>
  </si>
  <si>
    <t>Notes</t>
  </si>
  <si>
    <t>Infrastructure Foundation</t>
  </si>
  <si>
    <t>Complete</t>
  </si>
  <si>
    <t>Week 1 Day 1</t>
  </si>
  <si>
    <t>Week 1 Day 5</t>
  </si>
  <si>
    <t>VPC, RDS, Security Groups deployed</t>
  </si>
  <si>
    <t>API &amp; Compute Layer</t>
  </si>
  <si>
    <t>In Progress</t>
  </si>
  <si>
    <t>Week 2 Day 1</t>
  </si>
  <si>
    <t>Week 2 Day 5</t>
  </si>
  <si>
    <t>Multi-Modal Tracking &amp; Video</t>
  </si>
  <si>
    <t>Not Started</t>
  </si>
  <si>
    <t>Week 3 Day 1</t>
  </si>
  <si>
    <t>Week 3 Day 5</t>
  </si>
  <si>
    <t>ML Integration &amp; AnkiDeck API</t>
  </si>
  <si>
    <t>Week 4 Day 1</t>
  </si>
  <si>
    <t>Week 4 Day 5</t>
  </si>
  <si>
    <t>Monitoring &amp; Security</t>
  </si>
  <si>
    <t>Week 5 Day 1</t>
  </si>
  <si>
    <t>Week 5 Day 5</t>
  </si>
  <si>
    <t>CI/CD &amp; Demo</t>
  </si>
  <si>
    <t>Week 6 Day 1</t>
  </si>
  <si>
    <t>Week 6 Day 5</t>
  </si>
  <si>
    <t>KEY METRICS</t>
  </si>
  <si>
    <t>Total Tasks:</t>
  </si>
  <si>
    <t>Completed:</t>
  </si>
  <si>
    <t>In Progress:</t>
  </si>
  <si>
    <t>1 (1%)</t>
  </si>
  <si>
    <t>Blocked:</t>
  </si>
  <si>
    <t>0 (0%)</t>
  </si>
  <si>
    <t>Not Started:</t>
  </si>
  <si>
    <t>Current Week Hours:</t>
  </si>
  <si>
    <t>8 / 15</t>
  </si>
  <si>
    <t>Total Hours Logged:</t>
  </si>
  <si>
    <t>Estimated Completion:</t>
  </si>
  <si>
    <t>PHASE 1: Infrastructure Foundation</t>
  </si>
  <si>
    <t>Status:</t>
  </si>
  <si>
    <t>Task ID</t>
  </si>
  <si>
    <t>Day</t>
  </si>
  <si>
    <t>Task Description</t>
  </si>
  <si>
    <t>Owner</t>
  </si>
  <si>
    <t>Priority</t>
  </si>
  <si>
    <t>Est Hours</t>
  </si>
  <si>
    <t>Actual Hours</t>
  </si>
  <si>
    <t>Blocker</t>
  </si>
  <si>
    <t>P1-T001</t>
  </si>
  <si>
    <t>Day 1</t>
  </si>
  <si>
    <t>AWS Account Setup &amp; Billing Alarms</t>
  </si>
  <si>
    <t>AC</t>
  </si>
  <si>
    <t>High</t>
  </si>
  <si>
    <t>P1-T002</t>
  </si>
  <si>
    <t>Create IAM Admin User with MFA</t>
  </si>
  <si>
    <t>P1-T003</t>
  </si>
  <si>
    <t>Install AWS CLI &amp; Terraform</t>
  </si>
  <si>
    <t>P1-T004</t>
  </si>
  <si>
    <t>Initialize Terraform Project Structure</t>
  </si>
  <si>
    <t>P1-T005</t>
  </si>
  <si>
    <t>Day 2</t>
  </si>
  <si>
    <t>Create VPC with Public/Private Subnets</t>
  </si>
  <si>
    <t>Multi-AZ setup</t>
  </si>
  <si>
    <t>P1-T006</t>
  </si>
  <si>
    <t>Deploy NAT Gateway &amp; Internet Gateway</t>
  </si>
  <si>
    <t>P1-T007</t>
  </si>
  <si>
    <t>Configure Route Tables</t>
  </si>
  <si>
    <t>P1-T008</t>
  </si>
  <si>
    <t>Day 3</t>
  </si>
  <si>
    <t>Create Security Groups (ALB, EC2, RDS, Lambda)</t>
  </si>
  <si>
    <t>Zero-trust model</t>
  </si>
  <si>
    <t>P1-T009</t>
  </si>
  <si>
    <t>Day 4</t>
  </si>
  <si>
    <t>Create RDS PostgreSQL (Multi-AZ)</t>
  </si>
  <si>
    <t>P1-T010</t>
  </si>
  <si>
    <t>Configure Secrets Manager</t>
  </si>
  <si>
    <t>P1-T011</t>
  </si>
  <si>
    <t>Day 5</t>
  </si>
  <si>
    <t>Set up CloudWatch Log Groups</t>
  </si>
  <si>
    <t>Medium</t>
  </si>
  <si>
    <t>P1-T012</t>
  </si>
  <si>
    <t>Configure VPC Flow Logs</t>
  </si>
  <si>
    <t>P1-T013</t>
  </si>
  <si>
    <t>Documentation &amp; Testing</t>
  </si>
  <si>
    <t>P1-T014</t>
  </si>
  <si>
    <t>LinkedIn Post - Week 1</t>
  </si>
  <si>
    <t>Low</t>
  </si>
  <si>
    <t>PHASE 2: API &amp; Compute Layer</t>
  </si>
  <si>
    <t>P2-T001</t>
  </si>
  <si>
    <t>Create EC2 Instance in Terraform</t>
  </si>
  <si>
    <t>P2-T002</t>
  </si>
  <si>
    <t>Create IAM Role for EC2</t>
  </si>
  <si>
    <t>P2-T003</t>
  </si>
  <si>
    <t>Create user_data.sh Script</t>
  </si>
  <si>
    <t>P2-T004</t>
  </si>
  <si>
    <t>Deploy EC2 and Configure SSM</t>
  </si>
  <si>
    <t>SSM Agent not connecting</t>
  </si>
  <si>
    <t>Need VPC endpoints + SSM Agent</t>
  </si>
  <si>
    <t>P2-T005</t>
  </si>
  <si>
    <t>Create Database Schema (12+ tables)</t>
  </si>
  <si>
    <t>Git sync issue</t>
  </si>
  <si>
    <t>Remove nested repo</t>
  </si>
  <si>
    <t>P2-T006</t>
  </si>
  <si>
    <t>Set Up API Project Structure</t>
  </si>
  <si>
    <t>P2-T007</t>
  </si>
  <si>
    <t>Build Database Connection Utility</t>
  </si>
  <si>
    <t>P2-T008</t>
  </si>
  <si>
    <t>Create FastAPI Main Application</t>
  </si>
  <si>
    <t>P2-T009</t>
  </si>
  <si>
    <t>Build Health Check Endpoint</t>
  </si>
  <si>
    <t>P2-T010</t>
  </si>
  <si>
    <t>Create User Management Endpoints</t>
  </si>
  <si>
    <t>P2-T011</t>
  </si>
  <si>
    <t>Create Vocabulary CRUD Endpoints</t>
  </si>
  <si>
    <t>P2-T012</t>
  </si>
  <si>
    <t>Test Endpoints</t>
  </si>
  <si>
    <t>P2-T013</t>
  </si>
  <si>
    <t>Create Application Load Balancer</t>
  </si>
  <si>
    <t>P2-T014</t>
  </si>
  <si>
    <t>Configure SSL Certificate</t>
  </si>
  <si>
    <t>P2-T015</t>
  </si>
  <si>
    <t>Set Up Target Groups</t>
  </si>
  <si>
    <t>P2-T016</t>
  </si>
  <si>
    <t>Configure systemd Service</t>
  </si>
  <si>
    <t>P2-T017</t>
  </si>
  <si>
    <t>API Testing</t>
  </si>
  <si>
    <t>P2-T018</t>
  </si>
  <si>
    <t>Configure CloudWatch Logs</t>
  </si>
  <si>
    <t>P2-T019</t>
  </si>
  <si>
    <t>API Documentation</t>
  </si>
  <si>
    <t>P2-T020</t>
  </si>
  <si>
    <t>Phase 2 Complete Docs</t>
  </si>
  <si>
    <t>P2-T021</t>
  </si>
  <si>
    <t>LinkedIn Post - Week 2</t>
  </si>
  <si>
    <t>PHASE 3: Multi-Modal Tracking &amp; Video</t>
  </si>
  <si>
    <t>P3-T001</t>
  </si>
  <si>
    <t>Create S3 Data Lake Bucket</t>
  </si>
  <si>
    <t>P3-T002</t>
  </si>
  <si>
    <t>Create S3 Video Storage Bucket</t>
  </si>
  <si>
    <t>P3-T003</t>
  </si>
  <si>
    <t>Configure S3 Bucket Policies</t>
  </si>
  <si>
    <t>P3-T004</t>
  </si>
  <si>
    <t>Create CloudFront Distribution</t>
  </si>
  <si>
    <t>P3-T005</t>
  </si>
  <si>
    <t>Upload Sample ASL Videos (10-20)</t>
  </si>
  <si>
    <t>P3-T006</t>
  </si>
  <si>
    <t>Create Practice Activity Routes</t>
  </si>
  <si>
    <t>P3-T007</t>
  </si>
  <si>
    <t>Build Language Assignment Endpoints</t>
  </si>
  <si>
    <t>P3-T008</t>
  </si>
  <si>
    <t>Update Main FastAPI App</t>
  </si>
  <si>
    <t>P3-T009</t>
  </si>
  <si>
    <t>Test Practice Endpoints</t>
  </si>
  <si>
    <t>P3-T010</t>
  </si>
  <si>
    <t>Create ASL Vocabulary Endpoints</t>
  </si>
  <si>
    <t>P3-T011</t>
  </si>
  <si>
    <t>Populate asl_vocabulary Table</t>
  </si>
  <si>
    <t>P3-T012</t>
  </si>
  <si>
    <t>Test Video Streaming</t>
  </si>
  <si>
    <t>P3-T013</t>
  </si>
  <si>
    <t>Create Data Generation Script</t>
  </si>
  <si>
    <t>P3-T014</t>
  </si>
  <si>
    <t>Generate 100 Synthetic Users</t>
  </si>
  <si>
    <t>P3-T015</t>
  </si>
  <si>
    <t>Generate 500+ Practice Activities</t>
  </si>
  <si>
    <t>P3-T016</t>
  </si>
  <si>
    <t>Load Test Video Streaming</t>
  </si>
  <si>
    <t>P3-T017</t>
  </si>
  <si>
    <t>Verify CloudFront Cache Hit Rates</t>
  </si>
  <si>
    <t>P3-T018</t>
  </si>
  <si>
    <t>Update Architecture Diagram</t>
  </si>
  <si>
    <t>P3-T019</t>
  </si>
  <si>
    <t>Phase 3 Documentation</t>
  </si>
  <si>
    <t>P3-T020</t>
  </si>
  <si>
    <t>LinkedIn Post - Week 3</t>
  </si>
  <si>
    <t>PHASE 4: ML Integration &amp; AnkiDeck API</t>
  </si>
  <si>
    <t>P4-T001</t>
  </si>
  <si>
    <t>Create Forgetting Curve Model</t>
  </si>
  <si>
    <t>P4-T002</t>
  </si>
  <si>
    <t>Train Model on Synthetic Data</t>
  </si>
  <si>
    <t>P4-T003</t>
  </si>
  <si>
    <t>Save Model as .pkl File</t>
  </si>
  <si>
    <t>P4-T004</t>
  </si>
  <si>
    <t>Upload Model to S3</t>
  </si>
  <si>
    <t>P4-T005</t>
  </si>
  <si>
    <t>Create Lambda Handler for ML Inference</t>
  </si>
  <si>
    <t>P4-T006</t>
  </si>
  <si>
    <t>Create Lambda in Terraform</t>
  </si>
  <si>
    <t>P4-T007</t>
  </si>
  <si>
    <t>Configure Lambda IAM Permissions</t>
  </si>
  <si>
    <t>P4-T008</t>
  </si>
  <si>
    <t>Test Lambda Directly</t>
  </si>
  <si>
    <t>P4-T009</t>
  </si>
  <si>
    <t>Create Prediction API Endpoint</t>
  </si>
  <si>
    <t>P4-T010</t>
  </si>
  <si>
    <t>Store Predictions in RDS</t>
  </si>
  <si>
    <t>P4-T011</t>
  </si>
  <si>
    <t>Test Prediction Endpoint</t>
  </si>
  <si>
    <t>P4-T012</t>
  </si>
  <si>
    <t>Research AnkiDeck API</t>
  </si>
  <si>
    <t>P4-T013</t>
  </si>
  <si>
    <t>P4-T014</t>
  </si>
  <si>
    <t>P4-T015</t>
  </si>
  <si>
    <t>P4-T016</t>
  </si>
  <si>
    <t>Create EventBridge Rules</t>
  </si>
  <si>
    <t>P4-T017</t>
  </si>
  <si>
    <t>Test Scheduled Jobs</t>
  </si>
  <si>
    <t>P4-T018</t>
  </si>
  <si>
    <t>Implement Model Versioning</t>
  </si>
  <si>
    <t>P4-T019</t>
  </si>
  <si>
    <t>Phase 4 Documentation</t>
  </si>
  <si>
    <t>P4-T020</t>
  </si>
  <si>
    <t>LinkedIn Post - Week 4</t>
  </si>
  <si>
    <t>PHASE 5: Monitoring &amp; Security</t>
  </si>
  <si>
    <t>P5-T001</t>
  </si>
  <si>
    <t>Create CloudWatch Dashboard</t>
  </si>
  <si>
    <t>P5-T002</t>
  </si>
  <si>
    <t>Configure CloudWatch Alarms</t>
  </si>
  <si>
    <t>P5-T003</t>
  </si>
  <si>
    <t>Set Up SNS Topic for Alerts</t>
  </si>
  <si>
    <t>P5-T004</t>
  </si>
  <si>
    <t>Test Alarm Triggers</t>
  </si>
  <si>
    <t>P5-T005</t>
  </si>
  <si>
    <t>Create Operational Runbook</t>
  </si>
  <si>
    <t>P5-T006</t>
  </si>
  <si>
    <t>P5-T007</t>
  </si>
  <si>
    <t>Install Load Testing Tools</t>
  </si>
  <si>
    <t>P5-T008</t>
  </si>
  <si>
    <t>Create Load Testing Scripts</t>
  </si>
  <si>
    <t>P5-T009</t>
  </si>
  <si>
    <t>Run Load Tests (100 users)</t>
  </si>
  <si>
    <t>P5-T010</t>
  </si>
  <si>
    <t>Test Video Streaming Under Load</t>
  </si>
  <si>
    <t>P5-T011</t>
  </si>
  <si>
    <t>P5-T012</t>
  </si>
  <si>
    <t>Verify Security Group Rules</t>
  </si>
  <si>
    <t>P5-T013</t>
  </si>
  <si>
    <t>Check IAM Policies</t>
  </si>
  <si>
    <t>P5-T014</t>
  </si>
  <si>
    <t>Verify Encryption (Rest &amp; Transit)</t>
  </si>
  <si>
    <t>P5-T015</t>
  </si>
  <si>
    <t>Implement API Rate Limiting</t>
  </si>
  <si>
    <t>P5-T016</t>
  </si>
  <si>
    <t>P5-T017</t>
  </si>
  <si>
    <t>P5-T018</t>
  </si>
  <si>
    <t>P5-T019</t>
  </si>
  <si>
    <t>LinkedIn Post - Week 5</t>
  </si>
  <si>
    <t>PHASE 6: CI-CD &amp; Demo</t>
  </si>
  <si>
    <t>P6-T001</t>
  </si>
  <si>
    <t>Create GitHub Actions Workflow</t>
  </si>
  <si>
    <t>P6-T002</t>
  </si>
  <si>
    <t>Configure Terraform Deploy Pipeline</t>
  </si>
  <si>
    <t>P6-T003</t>
  </si>
  <si>
    <t>Configure AWS Credentials in GitHub</t>
  </si>
  <si>
    <t>P6-T004</t>
  </si>
  <si>
    <t>Test CI/CD Pipeline</t>
  </si>
  <si>
    <t>P6-T005</t>
  </si>
  <si>
    <t>Create Architecture Diagram</t>
  </si>
  <si>
    <t>P6-T006</t>
  </si>
  <si>
    <t>Update Complete README</t>
  </si>
  <si>
    <t>P6-T007</t>
  </si>
  <si>
    <t>Polish All Documentation</t>
  </si>
  <si>
    <t>P6-T008</t>
  </si>
  <si>
    <t>Plan Demo Video Script</t>
  </si>
  <si>
    <t>P6-T009</t>
  </si>
  <si>
    <t>Record Demo Video (3-5 min)</t>
  </si>
  <si>
    <t>P6-T010</t>
  </si>
  <si>
    <t>Edit and Add Captions</t>
  </si>
  <si>
    <t>P6-T011</t>
  </si>
  <si>
    <t>Upload to YouTube</t>
  </si>
  <si>
    <t>P6-T012</t>
  </si>
  <si>
    <t>Clean Up Terraform Code</t>
  </si>
  <si>
    <t>P6-T013</t>
  </si>
  <si>
    <t>Refactor API Code</t>
  </si>
  <si>
    <t>P6-T014</t>
  </si>
  <si>
    <t>Final Cost Optimization Review</t>
  </si>
  <si>
    <t>P6-T015</t>
  </si>
  <si>
    <t>Document AWS to Azure Migration</t>
  </si>
  <si>
    <t>P6-T016</t>
  </si>
  <si>
    <t>Prepare Interview Talking Points</t>
  </si>
  <si>
    <t>P6-T017</t>
  </si>
  <si>
    <t>Update Portfolio Site</t>
  </si>
  <si>
    <t>P6-T018</t>
  </si>
  <si>
    <t>Create Lessons Learned Doc</t>
  </si>
  <si>
    <t>P6-T019</t>
  </si>
  <si>
    <t>Final Git Commit</t>
  </si>
  <si>
    <t>P6-T020</t>
  </si>
  <si>
    <t>LinkedIn Post - Project Complete!</t>
  </si>
  <si>
    <t>BLOCKERS &amp; RISKS LOG</t>
  </si>
  <si>
    <t>ID</t>
  </si>
  <si>
    <t>Impact</t>
  </si>
  <si>
    <t>Action Plan</t>
  </si>
  <si>
    <t>Resolution Date</t>
  </si>
  <si>
    <t>B001</t>
  </si>
  <si>
    <t>Phase 2</t>
  </si>
  <si>
    <t>SSM Agent cannot connect to EC2</t>
  </si>
  <si>
    <t>1. Verify VPC endpoints created
2. Check IAM instance profile
3. Verify SSM Agent installed in user_data.sh
4. Check security groups
5. Recreate EC2 if needed</t>
  </si>
  <si>
    <t>B002</t>
  </si>
  <si>
    <t>Git repository sync - nested repo conflict</t>
  </si>
  <si>
    <t>Resolved</t>
  </si>
  <si>
    <t>1. Backed up terraform files
2. Removed nested .git
3. Moved terraform to root
4. Resolved merge conflicts
5. Force pushed</t>
  </si>
  <si>
    <t>PROJECT CHANGE LOG</t>
  </si>
  <si>
    <t>Date</t>
  </si>
  <si>
    <t>Changed By</t>
  </si>
  <si>
    <t>Phase/Task</t>
  </si>
  <si>
    <t>Change Type</t>
  </si>
  <si>
    <t>Blocker Added</t>
  </si>
  <si>
    <t>SSM connectivity issue - requires VPC endpoints + SSM Agent installation</t>
  </si>
  <si>
    <t>PROJECT TRACKER - USAGE INSTRUCTIONS</t>
  </si>
  <si>
    <t>DAILY WORKFLOW</t>
  </si>
  <si>
    <t>1. Update Task Status</t>
  </si>
  <si>
    <t>Change status dropdown: Not Started → In Progress → Complete</t>
  </si>
  <si>
    <t>2. Log Hours</t>
  </si>
  <si>
    <t>Update 'Actual Hours' column as you work</t>
  </si>
  <si>
    <t>3. Add Blockers</t>
  </si>
  <si>
    <t>Document any blockers in 'Blocker' column</t>
  </si>
  <si>
    <t>4. Add Notes</t>
  </si>
  <si>
    <t>Capture learnings in 'Notes' column</t>
  </si>
  <si>
    <t>WEEKLY WORKFLOW</t>
  </si>
  <si>
    <t>1. Review Overview Tab</t>
  </si>
  <si>
    <t>Check phase completion % and metrics</t>
  </si>
  <si>
    <t>2. Update Blockers Sheet</t>
  </si>
  <si>
    <t>Add new blockers, update status on existing</t>
  </si>
  <si>
    <t>3. Add Change Log Entry</t>
  </si>
  <si>
    <t>Document major changes or decisions</t>
  </si>
  <si>
    <t>4. LinkedIn Update</t>
  </si>
  <si>
    <t>Post weekly progress (use template in task)</t>
  </si>
  <si>
    <t>AUTOMATION TIPS</t>
  </si>
  <si>
    <t>Status Dropdowns</t>
  </si>
  <si>
    <t>Click cells in Status column for dropdown</t>
  </si>
  <si>
    <t>Priority Highlighting</t>
  </si>
  <si>
    <t>High priority tasks are bold red</t>
  </si>
  <si>
    <t>Color Coding</t>
  </si>
  <si>
    <t>Green=Complete, Yellow=In Progress, Red=Blocked, Gray=Not Started</t>
  </si>
  <si>
    <t>Filtering</t>
  </si>
  <si>
    <t>Use Excel filters on header row to view specific statuses</t>
  </si>
  <si>
    <t>GITHUB INTEGRATION</t>
  </si>
  <si>
    <t>Link to GitHub</t>
  </si>
  <si>
    <t>Use Task IDs in commit messages: 'git commit -m "Fix #P2-T004"'</t>
  </si>
  <si>
    <t>Create GitHub Issues</t>
  </si>
  <si>
    <t>Copy tasks to GitHub Projects for daily tracking</t>
  </si>
  <si>
    <t>Sync Weekly</t>
  </si>
  <si>
    <t>Update this tracker from GitHub once per week</t>
  </si>
  <si>
    <t>INTERVIEW PREP</t>
  </si>
  <si>
    <t>Completed Tasks</t>
  </si>
  <si>
    <t>Use to talk about specific accomplishments</t>
  </si>
  <si>
    <t>Blockers Resolved</t>
  </si>
  <si>
    <t>Great stories for problem-solving questions</t>
  </si>
  <si>
    <t>Hours Logged</t>
  </si>
  <si>
    <t>Shows time management skills</t>
  </si>
  <si>
    <t>Phase Completion</t>
  </si>
  <si>
    <t>Demonstrates ability to deliver projects</t>
  </si>
  <si>
    <t>SSM connectivity issue, Git sync issue</t>
  </si>
  <si>
    <t>Phase 1</t>
  </si>
  <si>
    <t>Phase Complete</t>
  </si>
  <si>
    <t>Infrastructure Foundation complete - 100%</t>
  </si>
  <si>
    <t>Git sync issue- nested repo + restructured folders</t>
  </si>
  <si>
    <t>AWS (VPC, EC2, RDS, Lambda, S3, CloudFront, ALB, CloudWatch, Secrets Manager), Terraform, Python, FastAPI, PostgreSQL</t>
  </si>
  <si>
    <t>Later enhancement</t>
  </si>
  <si>
    <t>Create Lambda Handler for Video Metadata</t>
  </si>
  <si>
    <t>Create Lambda Infrastructure in Terraform</t>
  </si>
  <si>
    <t>Package and Deploy Lambda Function</t>
  </si>
  <si>
    <t>Test Lambda with S3 Upload</t>
  </si>
  <si>
    <t>Verify S3 Event Triggers</t>
  </si>
  <si>
    <t>P3-T021</t>
  </si>
  <si>
    <t>P3-T022</t>
  </si>
  <si>
    <t>P3-T023</t>
  </si>
  <si>
    <t>P3-T024</t>
  </si>
  <si>
    <t>P3-T025</t>
  </si>
  <si>
    <t>Authentication error</t>
  </si>
  <si>
    <t>Reset Secret</t>
  </si>
  <si>
    <t>Future Demos</t>
  </si>
  <si>
    <t>Furture Demos</t>
  </si>
  <si>
    <t>Later Enhancement items</t>
  </si>
  <si>
    <t>In progress</t>
  </si>
  <si>
    <t>8 Weeks (90-120 hours total)</t>
  </si>
  <si>
    <t>Phase 3</t>
  </si>
  <si>
    <t>API &amp; compute layer complete - 100%</t>
  </si>
  <si>
    <t>Multi-Modal Activity Tracking complete - 97%</t>
  </si>
  <si>
    <t>AWS Resource size limit</t>
  </si>
  <si>
    <t>Lambda Layers to separate dependencies</t>
  </si>
  <si>
    <t>Lambda size limit - optimization</t>
  </si>
  <si>
    <t>Resolved a few errors</t>
  </si>
  <si>
    <t>No AnkiDeck integration</t>
  </si>
  <si>
    <t>Manual Curated vocabulary</t>
  </si>
  <si>
    <t>Phase 4</t>
  </si>
  <si>
    <t>Task Set</t>
  </si>
  <si>
    <t>AnkiDeck API Integration to Seeded Vocabulary</t>
  </si>
  <si>
    <t>Create Vocubulary Seed Files</t>
  </si>
  <si>
    <t>Create Vocabulary Seeding Script</t>
  </si>
  <si>
    <t>Seed Vocabulary Database &amp; Verify Data Integrity</t>
  </si>
  <si>
    <t>UTF-8 encoding challenges</t>
  </si>
  <si>
    <t>Cancelled - pivot from AnkiDeck API</t>
  </si>
  <si>
    <t>UTC-8 Encoding</t>
  </si>
  <si>
    <t>B003</t>
  </si>
  <si>
    <t>1. Upload files to S3
2. SSM into EC2
3. Dowload files</t>
  </si>
  <si>
    <t>91.5 / 120</t>
  </si>
  <si>
    <t>53 (40%)</t>
  </si>
  <si>
    <t>80 (58%)</t>
  </si>
  <si>
    <t>MLOps Engineer Portfolio</t>
  </si>
  <si>
    <t>ML Integration - 100%</t>
  </si>
  <si>
    <t>Phase 5 - Monitoring &amp; Security</t>
  </si>
  <si>
    <t>Blcoked</t>
  </si>
  <si>
    <t>Apply DB Connection Context Manager</t>
  </si>
  <si>
    <t>See docs/code-quality/CONNECTION_POOL_MANAGEMENT.md</t>
  </si>
  <si>
    <t>Implement Structured Error Handling</t>
  </si>
  <si>
    <t>See docs/code-quality/ERROR_HANDLING_PATTERNS.md</t>
  </si>
  <si>
    <t>Fix ML Model (LogisticRegression, train/test split, quality gate)</t>
  </si>
  <si>
    <t>See docs/code-quality/ML_MODEL_EVALUATION.md</t>
  </si>
  <si>
    <t xml:space="preserve">Apply Terraform Security Fixes </t>
  </si>
  <si>
    <t>See docs/code-quality/INFRASTRUCTURE_SECURITY_HARDENING.md</t>
  </si>
  <si>
    <t>Consolidated — verify SSH removed, ALB-only ingress</t>
  </si>
  <si>
    <t>Consolidated — verify scoped Secrets Manager, separate Lambda roles</t>
  </si>
  <si>
    <t>S3 encryption, RDS encryption, HTTPS on ALB</t>
  </si>
  <si>
    <t>6 widgets: API latency, error rates, Lambda duration, RDS connections, S3 requests, ALB metrics</t>
  </si>
  <si>
    <t>4 alarms: High error rate, Lambda throttling, RDS connection spike, API latency</t>
  </si>
  <si>
    <t>Email notifications for alarm triggers</t>
  </si>
  <si>
    <t>Enable VPC Flow Logs</t>
  </si>
  <si>
    <t>CloudWatch log group with 30-day retention</t>
  </si>
  <si>
    <t>Create Multi-Stage Dockerfile</t>
  </si>
  <si>
    <t>Target image size &lt;300MB, separate build/runtime stages</t>
  </si>
  <si>
    <t>Create docker-compose.yml</t>
  </si>
  <si>
    <t>Test Local Container Build</t>
  </si>
  <si>
    <t>docker build + docker run + health check</t>
  </si>
  <si>
    <t>Create ECR Repository</t>
  </si>
  <si>
    <t>Push Image to ECR</t>
  </si>
  <si>
    <t>Document Docker Workflow</t>
  </si>
  <si>
    <r>
      <t>docs/DOCKER.md</t>
    </r>
    <r>
      <rPr>
        <sz val="11"/>
        <color theme="1"/>
        <rFont val="Calibri"/>
        <family val="2"/>
        <scheme val="minor"/>
      </rPr>
      <t xml:space="preserve"> — build, run, push commands</t>
    </r>
  </si>
  <si>
    <t>P5-T020</t>
  </si>
  <si>
    <t>P5-T021</t>
  </si>
  <si>
    <t>P5-T022</t>
  </si>
  <si>
    <t>P5-T023</t>
  </si>
  <si>
    <t>P5-T024</t>
  </si>
  <si>
    <t>P5-T025</t>
  </si>
  <si>
    <t>P5-T026</t>
  </si>
  <si>
    <t>P5-T027</t>
  </si>
  <si>
    <t>Install Mlflow</t>
  </si>
  <si>
    <t>Update Training Script with MLflow Tracking</t>
  </si>
  <si>
    <t>Log params, metrics, artifacts for each run</t>
  </si>
  <si>
    <t>Run 5 Experiment Variations</t>
  </si>
  <si>
    <t>Vary hyperparameters, compare in MLflow UI</t>
  </si>
  <si>
    <t>Register Best Model</t>
  </si>
  <si>
    <t>Promote to MLflow Model Registry</t>
  </si>
  <si>
    <t>Document MLflow Setup</t>
  </si>
  <si>
    <r>
      <t>docs/MLFLOW_SETUP.md</t>
    </r>
    <r>
      <rPr>
        <sz val="11"/>
        <color theme="1"/>
        <rFont val="Calibri"/>
        <family val="2"/>
        <scheme val="minor"/>
      </rPr>
      <t xml:space="preserve"> — setup, usage, comparison</t>
    </r>
  </si>
  <si>
    <t>Locust</t>
  </si>
  <si>
    <t>5-minute test, capture latency/throughput</t>
  </si>
  <si>
    <t>P5-T028</t>
  </si>
  <si>
    <t>P5-T029</t>
  </si>
  <si>
    <t>P5-T030</t>
  </si>
  <si>
    <t>P5-T031</t>
  </si>
  <si>
    <t>P5-T032</t>
  </si>
  <si>
    <t>P5-T033</t>
  </si>
  <si>
    <t>slowapi with tiered limits (100/min general, 20/min predictions)</t>
  </si>
  <si>
    <t>Add Custom ML CloudWatch Metrics</t>
  </si>
  <si>
    <t>Prediction latency, model version, recall probability distribution</t>
  </si>
  <si>
    <t>Update README with Phase 5 Changes</t>
  </si>
  <si>
    <t>Monitoring, Docker, MLflow sections</t>
  </si>
  <si>
    <t>Create MONITORING.md</t>
  </si>
  <si>
    <t>Dashboard overview, alarm thresholds, runbook reference</t>
  </si>
  <si>
    <t>Final Phase 5 Verification</t>
  </si>
  <si>
    <t>End-to-end test: API → Lambda → CloudWatch → Alarm</t>
  </si>
  <si>
    <t>P5-T034</t>
  </si>
  <si>
    <t>Phase 5</t>
  </si>
  <si>
    <t>B004</t>
  </si>
  <si>
    <t>B005</t>
  </si>
  <si>
    <t>B006</t>
  </si>
  <si>
    <t>B007</t>
  </si>
  <si>
    <t>B008</t>
  </si>
  <si>
    <t>B009</t>
  </si>
  <si>
    <t>B010</t>
  </si>
  <si>
    <t>Security review identified connection pooling that needs remediation</t>
  </si>
  <si>
    <t>Security review identified  error handling that needs remediation</t>
  </si>
  <si>
    <t>Security review identified  ML evaluation patterns that needs remediation</t>
  </si>
  <si>
    <t>Security review identified permission issues that need remediation</t>
  </si>
  <si>
    <t>Scope Addition</t>
  </si>
  <si>
    <t>Added "Code Quality &amp; Security Hardening" day based on collaborative security review. Includes: context manager for DB connections, structured error handling, ML model fixes (LogisticRegression, train/test split, quality gate), Terraform security (scoped IAM, separated Lambda roles, S3 blocks, SSH removal)</t>
  </si>
  <si>
    <t>Schedule Update</t>
  </si>
  <si>
    <t>Day 1 now covers code quality fixes (6.25 hrs); total Phase 5 timeline adjusted to ~23 hours</t>
  </si>
  <si>
    <t>Phase 6</t>
  </si>
  <si>
    <t>Scope Reduction</t>
  </si>
  <si>
    <t>"Refactor API code" task reduced to formatting/linting only; substantive refactoring moved to Phase 5 Day 1</t>
  </si>
  <si>
    <t>Addition</t>
  </si>
  <si>
    <t>Documentation</t>
  </si>
  <si>
    <t>Added SECURITY_CONSIDERATIONS.md documenting auth approach as known limitation with solutions</t>
  </si>
  <si>
    <t>Added docs/code-quality folder with lessons learned: CONNECTION_POOL_MANAGEMENT.md, ERROR_HANDLING_PATTERNS.md, ML_MODEL_EVALUATION.md, INFRASTRUCTURE_SECURITY_HARDENING.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</si>
</sst>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0"/>
      <name val="Calibri"/>
    </font>
    <font>
      <b/>
      <sz val="12"/>
      <color rgb="FF1F4E78"/>
      <name val="Calibri"/>
    </font>
    <font>
      <b/>
      <sz val="11"/>
      <color rgb="FFFFFFFF"/>
      <name val="Calibri"/>
    </font>
    <font>
      <sz val="10"/>
      <name val="Calibri"/>
    </font>
    <font>
      <b/>
      <sz val="14"/>
      <color rgb="FFFFFFFF"/>
      <name val="Calibri"/>
    </font>
    <font>
      <b/>
      <sz val="11"/>
      <color rgb="FFC00000"/>
      <name val="Calibri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 Unicode MS"/>
    </font>
    <font>
      <b/>
      <sz val="10"/>
      <color rgb="FFC00000"/>
      <name val="Calibri"/>
      <family val="2"/>
    </font>
    <font>
      <sz val="8"/>
      <color rgb="FFFFFFFF"/>
      <name val="Consolas"/>
      <family val="3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00000"/>
        <bgColor rgb="FFC00000"/>
      </patternFill>
    </fill>
    <fill>
      <patternFill patternType="solid">
        <fgColor rgb="FFC6EFCE"/>
        <bgColor rgb="FFFFC7CE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rgb="FFFFEB9C"/>
      </patternFill>
    </fill>
    <fill>
      <patternFill patternType="solid">
        <fgColor rgb="FFC6EFCE"/>
        <bgColor rgb="FFF2F2F2"/>
      </patternFill>
    </fill>
    <fill>
      <patternFill patternType="solid">
        <fgColor rgb="FFFFEB9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/>
    <xf numFmtId="0" fontId="0" fillId="3" borderId="0" xfId="0" applyFill="1"/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4" borderId="0" xfId="0" applyFill="1"/>
    <xf numFmtId="0" fontId="5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right" vertical="top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vertical="top"/>
    </xf>
    <xf numFmtId="0" fontId="9" fillId="10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0" fillId="11" borderId="0" xfId="0" applyFill="1"/>
    <xf numFmtId="0" fontId="5" fillId="11" borderId="1" xfId="0" applyFont="1" applyFill="1" applyBorder="1" applyAlignment="1">
      <alignment horizontal="center" vertical="center"/>
    </xf>
    <xf numFmtId="0" fontId="0" fillId="12" borderId="0" xfId="0" applyFill="1"/>
    <xf numFmtId="0" fontId="5" fillId="12" borderId="1" xfId="0" applyFont="1" applyFill="1" applyBorder="1" applyAlignment="1">
      <alignment horizontal="center" vertical="center"/>
    </xf>
    <xf numFmtId="0" fontId="0" fillId="9" borderId="0" xfId="0" applyFill="1"/>
    <xf numFmtId="14" fontId="5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0" fontId="10" fillId="0" borderId="0" xfId="0" applyFont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0" fontId="10" fillId="0" borderId="3" xfId="0" applyFont="1" applyBorder="1" applyAlignment="1">
      <alignment vertical="top" wrapText="1"/>
    </xf>
    <xf numFmtId="0" fontId="0" fillId="13" borderId="1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left"/>
    </xf>
    <xf numFmtId="0" fontId="3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0" fillId="0" borderId="1" xfId="0" applyBorder="1"/>
    <xf numFmtId="0" fontId="12" fillId="0" borderId="1" xfId="0" applyFont="1" applyBorder="1"/>
    <xf numFmtId="0" fontId="0" fillId="0" borderId="1" xfId="0" applyFill="1" applyBorder="1"/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5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8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 patternType="solid">
          <fgColor rgb="FFE2E3E5"/>
          <bgColor rgb="FFE2E3E5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C6E5DA"/>
          <bgColor rgb="FFC6E5DA"/>
        </patternFill>
      </fill>
    </dxf>
    <dxf>
      <fill>
        <patternFill patternType="solid">
          <fgColor rgb="FFE2E3E5"/>
          <bgColor rgb="FFE2E3E5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C6E5DA"/>
          <bgColor rgb="FFC6E5DA"/>
        </patternFill>
      </fill>
    </dxf>
    <dxf>
      <fill>
        <patternFill patternType="solid">
          <fgColor rgb="FFE2E3E5"/>
          <bgColor rgb="FFE2E3E5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C6E5DA"/>
          <bgColor rgb="FFC6E5DA"/>
        </patternFill>
      </fill>
    </dxf>
    <dxf>
      <fill>
        <patternFill patternType="solid">
          <fgColor rgb="FFE2E3E5"/>
          <bgColor rgb="FFE2E3E5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C6E5DA"/>
          <bgColor rgb="FFC6E5DA"/>
        </patternFill>
      </fill>
    </dxf>
    <dxf>
      <fill>
        <patternFill patternType="solid">
          <fgColor rgb="FFE2E3E5"/>
          <bgColor rgb="FFE2E3E5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C6E5DA"/>
          <bgColor rgb="FFC6E5DA"/>
        </patternFill>
      </fill>
    </dxf>
    <dxf>
      <fill>
        <patternFill patternType="solid">
          <fgColor rgb="FFE2E3E5"/>
          <bgColor rgb="FFE2E3E5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C6E5DA"/>
          <bgColor rgb="FFC6E5DA"/>
        </patternFill>
      </fill>
    </dxf>
  </dxfs>
  <tableStyles count="0" defaultTableStyle="TableStyleMedium9" defaultPivotStyle="PivotStyleLight16"/>
  <colors>
    <mruColors>
      <color rgb="FFFFEB9C"/>
      <color rgb="FFC6EFCE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opLeftCell="A11" workbookViewId="0">
      <selection activeCell="B9" sqref="B9"/>
    </sheetView>
  </sheetViews>
  <sheetFormatPr defaultRowHeight="14.4"/>
  <cols>
    <col min="1" max="1" width="19.21875" bestFit="1" customWidth="1"/>
    <col min="2" max="2" width="25.109375" bestFit="1" customWidth="1"/>
    <col min="3" max="3" width="10" bestFit="1" customWidth="1"/>
    <col min="4" max="5" width="11.5546875" bestFit="1" customWidth="1"/>
    <col min="6" max="6" width="10.77734375" bestFit="1" customWidth="1"/>
    <col min="7" max="7" width="7.21875" bestFit="1" customWidth="1"/>
    <col min="8" max="8" width="29.21875" bestFit="1" customWidth="1"/>
  </cols>
  <sheetData>
    <row r="1" spans="1:8" ht="30" customHeight="1">
      <c r="A1" s="41" t="s">
        <v>0</v>
      </c>
      <c r="B1" s="40"/>
      <c r="C1" s="40"/>
      <c r="D1" s="40"/>
      <c r="E1" s="40"/>
      <c r="F1" s="40"/>
      <c r="G1" s="40"/>
      <c r="H1" s="40"/>
    </row>
    <row r="3" spans="1:8">
      <c r="A3" s="1" t="s">
        <v>1</v>
      </c>
      <c r="B3" s="40" t="s">
        <v>2</v>
      </c>
      <c r="C3" s="40"/>
      <c r="D3" s="40"/>
      <c r="E3" s="40"/>
      <c r="F3" s="40"/>
      <c r="G3" s="40"/>
      <c r="H3" s="40"/>
    </row>
    <row r="4" spans="1:8">
      <c r="A4" s="1" t="s">
        <v>3</v>
      </c>
      <c r="B4" s="40" t="s">
        <v>414</v>
      </c>
      <c r="C4" s="40"/>
      <c r="D4" s="40"/>
      <c r="E4" s="40"/>
      <c r="F4" s="40"/>
      <c r="G4" s="40"/>
      <c r="H4" s="40"/>
    </row>
    <row r="5" spans="1:8">
      <c r="A5" s="1" t="s">
        <v>4</v>
      </c>
      <c r="B5" s="40" t="s">
        <v>390</v>
      </c>
      <c r="C5" s="40"/>
      <c r="D5" s="40"/>
      <c r="E5" s="40"/>
      <c r="F5" s="40"/>
      <c r="G5" s="40"/>
      <c r="H5" s="40"/>
    </row>
    <row r="6" spans="1:8">
      <c r="A6" s="1" t="s">
        <v>5</v>
      </c>
      <c r="B6" s="40" t="s">
        <v>6</v>
      </c>
      <c r="C6" s="40"/>
      <c r="D6" s="40"/>
      <c r="E6" s="40"/>
      <c r="F6" s="40"/>
      <c r="G6" s="40"/>
      <c r="H6" s="40"/>
    </row>
    <row r="7" spans="1:8">
      <c r="A7" s="1" t="s">
        <v>7</v>
      </c>
      <c r="B7" s="40" t="s">
        <v>416</v>
      </c>
      <c r="C7" s="40"/>
      <c r="D7" s="40"/>
      <c r="E7" s="40"/>
      <c r="F7" s="40"/>
      <c r="G7" s="40"/>
      <c r="H7" s="40"/>
    </row>
    <row r="8" spans="1:8">
      <c r="A8" s="1" t="s">
        <v>8</v>
      </c>
      <c r="B8" s="40" t="s">
        <v>417</v>
      </c>
      <c r="C8" s="40"/>
      <c r="D8" s="40"/>
      <c r="E8" s="40"/>
      <c r="F8" s="40"/>
      <c r="G8" s="40"/>
      <c r="H8" s="40"/>
    </row>
    <row r="9" spans="1:8">
      <c r="A9" s="1"/>
    </row>
    <row r="10" spans="1:8">
      <c r="A10" s="1" t="s">
        <v>9</v>
      </c>
      <c r="B10" s="40" t="s">
        <v>372</v>
      </c>
      <c r="C10" s="40"/>
      <c r="D10" s="40"/>
      <c r="E10" s="40"/>
      <c r="F10" s="40"/>
      <c r="G10" s="40"/>
      <c r="H10" s="40"/>
    </row>
    <row r="13" spans="1:8" ht="15.6" customHeight="1">
      <c r="A13" s="39" t="s">
        <v>10</v>
      </c>
      <c r="B13" s="40"/>
      <c r="C13" s="40"/>
      <c r="D13" s="40"/>
      <c r="E13" s="40"/>
      <c r="F13" s="40"/>
      <c r="G13" s="40"/>
      <c r="H13" s="40"/>
    </row>
    <row r="14" spans="1:8" ht="28.8" customHeight="1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</row>
    <row r="15" spans="1:8">
      <c r="A15" s="4">
        <v>1</v>
      </c>
      <c r="B15" s="5" t="s">
        <v>19</v>
      </c>
      <c r="C15" s="6" t="s">
        <v>20</v>
      </c>
      <c r="D15" s="4" t="s">
        <v>21</v>
      </c>
      <c r="E15" s="4" t="s">
        <v>22</v>
      </c>
      <c r="F15" s="16">
        <f>IFERROR(COUNTIF('Phase 1 - Infrastructure'!E5:E100,"Complete")/COUNTA('Phase 1 - Infrastructure'!A5:A100),0)</f>
        <v>1</v>
      </c>
      <c r="G15" s="4">
        <f>COUNTIF('Phase 1 - Infrastructure'!E:E,"Blocked")</f>
        <v>0</v>
      </c>
      <c r="H15" s="4" t="s">
        <v>23</v>
      </c>
    </row>
    <row r="16" spans="1:8">
      <c r="A16" s="4">
        <v>2</v>
      </c>
      <c r="B16" s="5" t="s">
        <v>24</v>
      </c>
      <c r="C16" s="26" t="s">
        <v>20</v>
      </c>
      <c r="D16" s="4" t="s">
        <v>26</v>
      </c>
      <c r="E16" s="4" t="s">
        <v>27</v>
      </c>
      <c r="F16" s="16">
        <f>IFERROR(COUNTIF('Phase 2 - API &amp; Compute'!E5:E100,"Complete")/COUNTA('Phase 2 - API &amp; Compute'!A5:A100),0)</f>
        <v>1</v>
      </c>
      <c r="G16" s="4">
        <f>COUNTIF('Phase 2 - API &amp; Compute'!E:E,"Blocked")</f>
        <v>0</v>
      </c>
      <c r="H16" s="4" t="s">
        <v>367</v>
      </c>
    </row>
    <row r="17" spans="1:8">
      <c r="A17" s="4">
        <v>3</v>
      </c>
      <c r="B17" s="5" t="s">
        <v>28</v>
      </c>
      <c r="C17" s="28" t="s">
        <v>20</v>
      </c>
      <c r="D17" s="4" t="s">
        <v>30</v>
      </c>
      <c r="E17" s="4" t="s">
        <v>31</v>
      </c>
      <c r="F17" s="16">
        <f>IFERROR(COUNTIF('Phase 3 - Multi-Modal'!E5:E105,"Complete")/COUNTA('Phase 3 - Multi-Modal'!A5:A105),0)</f>
        <v>1</v>
      </c>
      <c r="G17" s="4">
        <f>COUNTIF('Phase 3 - Multi-Modal'!E:E,"Blocked")</f>
        <v>0</v>
      </c>
      <c r="H17" s="4" t="s">
        <v>388</v>
      </c>
    </row>
    <row r="18" spans="1:8">
      <c r="A18" s="4">
        <v>4</v>
      </c>
      <c r="B18" s="5" t="s">
        <v>32</v>
      </c>
      <c r="C18" s="28" t="s">
        <v>20</v>
      </c>
      <c r="D18" s="4" t="s">
        <v>33</v>
      </c>
      <c r="E18" s="4" t="s">
        <v>34</v>
      </c>
      <c r="F18" s="16">
        <f>IFERROR(COUNTIF('Phase 4 - ML Integration'!E5:E100,"Complete")/COUNTA('Phase 4 - ML Integration'!A5:A100),0)</f>
        <v>1</v>
      </c>
      <c r="G18" s="4">
        <f>COUNTIF('Phase 4 - ML Integration'!E:E,"Blocked")</f>
        <v>0</v>
      </c>
      <c r="H18" s="4" t="s">
        <v>396</v>
      </c>
    </row>
    <row r="19" spans="1:8">
      <c r="A19" s="4">
        <v>5</v>
      </c>
      <c r="B19" s="5" t="s">
        <v>35</v>
      </c>
      <c r="C19" s="15" t="s">
        <v>389</v>
      </c>
      <c r="D19" s="4" t="s">
        <v>36</v>
      </c>
      <c r="E19" s="4" t="s">
        <v>37</v>
      </c>
      <c r="F19" s="16">
        <f>IFERROR(COUNTIF('Phase 5 - Monitoring'!E5:E115,"Complete")/COUNTA('Phase 5 - Monitoring'!A5:A115),0)</f>
        <v>0</v>
      </c>
      <c r="G19" s="4">
        <f>COUNTIF('Phase 5 - Monitoring'!E:E,"Blocked")</f>
        <v>0</v>
      </c>
      <c r="H19" s="4"/>
    </row>
    <row r="20" spans="1:8">
      <c r="A20" s="4">
        <v>6</v>
      </c>
      <c r="B20" s="5" t="s">
        <v>38</v>
      </c>
      <c r="C20" s="7" t="s">
        <v>29</v>
      </c>
      <c r="D20" s="4" t="s">
        <v>39</v>
      </c>
      <c r="E20" s="4" t="s">
        <v>40</v>
      </c>
      <c r="F20" s="16">
        <f>IFERROR(COUNTIF('Phase 6 - CICD'!E5:E100,"Complete")/COUNTA('Phase 6 - CICD'!A5:A100),0)</f>
        <v>0</v>
      </c>
      <c r="G20" s="4">
        <f>COUNTIF('Phase 6 - CICD'!E:E,"Blocked")</f>
        <v>0</v>
      </c>
      <c r="H20" s="4"/>
    </row>
    <row r="23" spans="1:8" ht="15.6" customHeight="1">
      <c r="A23" s="2" t="s">
        <v>41</v>
      </c>
    </row>
    <row r="24" spans="1:8">
      <c r="A24" s="1" t="s">
        <v>42</v>
      </c>
      <c r="B24">
        <f>COUNTA('Phase 1 - Infrastructure'!A:A)+COUNTA('Phase 2 - API &amp; Compute'!A:A)+COUNTA('Phase 3 - Multi-Modal'!A:A)+COUNTA('Phase 4 - ML Integration'!A:A)+COUNTA('Phase 5 - Monitoring'!A:A)+COUNTA('Phase 6 - CICD'!A:A)</f>
        <v>152</v>
      </c>
    </row>
    <row r="25" spans="1:8">
      <c r="A25" s="1" t="s">
        <v>43</v>
      </c>
      <c r="B25" t="s">
        <v>413</v>
      </c>
    </row>
    <row r="26" spans="1:8">
      <c r="A26" s="1" t="s">
        <v>44</v>
      </c>
      <c r="B26" t="s">
        <v>45</v>
      </c>
    </row>
    <row r="27" spans="1:8">
      <c r="A27" s="1" t="s">
        <v>46</v>
      </c>
      <c r="B27" t="s">
        <v>47</v>
      </c>
    </row>
    <row r="28" spans="1:8">
      <c r="A28" s="1" t="s">
        <v>48</v>
      </c>
      <c r="B28" t="s">
        <v>412</v>
      </c>
    </row>
    <row r="29" spans="1:8">
      <c r="A29" s="8"/>
    </row>
    <row r="30" spans="1:8">
      <c r="A30" s="1" t="s">
        <v>49</v>
      </c>
      <c r="B30" t="s">
        <v>50</v>
      </c>
    </row>
    <row r="31" spans="1:8">
      <c r="A31" s="1" t="s">
        <v>51</v>
      </c>
      <c r="B31" t="s">
        <v>411</v>
      </c>
    </row>
    <row r="32" spans="1:8">
      <c r="A32" s="1" t="s">
        <v>52</v>
      </c>
      <c r="B32" t="s">
        <v>40</v>
      </c>
    </row>
  </sheetData>
  <mergeCells count="9">
    <mergeCell ref="A13:H13"/>
    <mergeCell ref="B10:H10"/>
    <mergeCell ref="A1:H1"/>
    <mergeCell ref="B7:H7"/>
    <mergeCell ref="B3:H3"/>
    <mergeCell ref="B5:H5"/>
    <mergeCell ref="B8:H8"/>
    <mergeCell ref="B4:H4"/>
    <mergeCell ref="B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pane ySplit="4" topLeftCell="A5" activePane="bottomLeft" state="frozen"/>
      <selection pane="bottomLeft" activeCell="E20" sqref="E20"/>
    </sheetView>
  </sheetViews>
  <sheetFormatPr defaultRowHeight="14.4"/>
  <cols>
    <col min="1" max="1" width="10" customWidth="1"/>
    <col min="2" max="2" width="8.5546875" customWidth="1"/>
    <col min="3" max="3" width="45" customWidth="1"/>
    <col min="4" max="4" width="10" customWidth="1"/>
    <col min="5" max="5" width="12" customWidth="1"/>
    <col min="6" max="7" width="10" customWidth="1"/>
    <col min="8" max="8" width="12" customWidth="1"/>
    <col min="9" max="9" width="25" customWidth="1"/>
    <col min="10" max="10" width="35" customWidth="1"/>
  </cols>
  <sheetData>
    <row r="1" spans="1:10" ht="25.05" customHeight="1">
      <c r="A1" s="42" t="s">
        <v>53</v>
      </c>
      <c r="B1" s="40"/>
      <c r="C1" s="40"/>
      <c r="D1" s="40"/>
      <c r="E1" s="40"/>
      <c r="F1" s="40"/>
      <c r="G1" s="40"/>
      <c r="H1" s="40"/>
      <c r="I1" s="40"/>
      <c r="J1" s="40"/>
    </row>
    <row r="2" spans="1:10">
      <c r="A2" t="s">
        <v>54</v>
      </c>
      <c r="B2" s="9" t="s">
        <v>20</v>
      </c>
    </row>
    <row r="4" spans="1:10">
      <c r="A4" s="3" t="s">
        <v>55</v>
      </c>
      <c r="B4" s="3" t="s">
        <v>56</v>
      </c>
      <c r="C4" s="3" t="s">
        <v>57</v>
      </c>
      <c r="D4" s="3" t="s">
        <v>58</v>
      </c>
      <c r="E4" s="3" t="s">
        <v>13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18</v>
      </c>
    </row>
    <row r="5" spans="1:10">
      <c r="A5" s="10" t="s">
        <v>63</v>
      </c>
      <c r="B5" s="10" t="s">
        <v>64</v>
      </c>
      <c r="C5" s="10" t="s">
        <v>65</v>
      </c>
      <c r="D5" s="14" t="s">
        <v>66</v>
      </c>
      <c r="E5" s="6" t="s">
        <v>20</v>
      </c>
      <c r="F5" s="11" t="s">
        <v>67</v>
      </c>
      <c r="G5" s="10">
        <v>0.5</v>
      </c>
      <c r="H5" s="10">
        <v>0.5</v>
      </c>
      <c r="I5" s="10"/>
      <c r="J5" s="10"/>
    </row>
    <row r="6" spans="1:10">
      <c r="A6" s="10" t="s">
        <v>68</v>
      </c>
      <c r="B6" s="10" t="s">
        <v>64</v>
      </c>
      <c r="C6" s="10" t="s">
        <v>69</v>
      </c>
      <c r="D6" s="14" t="s">
        <v>66</v>
      </c>
      <c r="E6" s="6" t="s">
        <v>20</v>
      </c>
      <c r="F6" s="11" t="s">
        <v>67</v>
      </c>
      <c r="G6" s="10">
        <v>0.5</v>
      </c>
      <c r="H6" s="10">
        <v>0.5</v>
      </c>
      <c r="I6" s="10"/>
      <c r="J6" s="10"/>
    </row>
    <row r="7" spans="1:10">
      <c r="A7" s="10" t="s">
        <v>70</v>
      </c>
      <c r="B7" s="10" t="s">
        <v>64</v>
      </c>
      <c r="C7" s="10" t="s">
        <v>71</v>
      </c>
      <c r="D7" s="14" t="s">
        <v>66</v>
      </c>
      <c r="E7" s="6" t="s">
        <v>20</v>
      </c>
      <c r="F7" s="11" t="s">
        <v>67</v>
      </c>
      <c r="G7" s="10">
        <v>0.5</v>
      </c>
      <c r="H7" s="10">
        <v>0.5</v>
      </c>
      <c r="I7" s="10"/>
      <c r="J7" s="10"/>
    </row>
    <row r="8" spans="1:10">
      <c r="A8" s="10" t="s">
        <v>72</v>
      </c>
      <c r="B8" s="10" t="s">
        <v>64</v>
      </c>
      <c r="C8" s="10" t="s">
        <v>73</v>
      </c>
      <c r="D8" s="14" t="s">
        <v>66</v>
      </c>
      <c r="E8" s="6" t="s">
        <v>20</v>
      </c>
      <c r="F8" s="11" t="s">
        <v>67</v>
      </c>
      <c r="G8" s="10">
        <v>1</v>
      </c>
      <c r="H8" s="10">
        <v>1</v>
      </c>
      <c r="I8" s="10"/>
      <c r="J8" s="10"/>
    </row>
    <row r="9" spans="1:10">
      <c r="A9" s="10" t="s">
        <v>74</v>
      </c>
      <c r="B9" s="10" t="s">
        <v>75</v>
      </c>
      <c r="C9" s="10" t="s">
        <v>76</v>
      </c>
      <c r="D9" s="14" t="s">
        <v>66</v>
      </c>
      <c r="E9" s="6" t="s">
        <v>20</v>
      </c>
      <c r="F9" s="11" t="s">
        <v>67</v>
      </c>
      <c r="G9" s="10">
        <v>2</v>
      </c>
      <c r="H9" s="10">
        <v>2.5</v>
      </c>
      <c r="I9" s="10"/>
      <c r="J9" s="10" t="s">
        <v>77</v>
      </c>
    </row>
    <row r="10" spans="1:10">
      <c r="A10" s="10" t="s">
        <v>78</v>
      </c>
      <c r="B10" s="10" t="s">
        <v>75</v>
      </c>
      <c r="C10" s="10" t="s">
        <v>79</v>
      </c>
      <c r="D10" s="14" t="s">
        <v>66</v>
      </c>
      <c r="E10" s="6" t="s">
        <v>20</v>
      </c>
      <c r="F10" s="11" t="s">
        <v>67</v>
      </c>
      <c r="G10" s="10">
        <v>1</v>
      </c>
      <c r="H10" s="10">
        <v>1</v>
      </c>
      <c r="I10" s="10"/>
      <c r="J10" s="10"/>
    </row>
    <row r="11" spans="1:10">
      <c r="A11" s="10" t="s">
        <v>80</v>
      </c>
      <c r="B11" s="10" t="s">
        <v>75</v>
      </c>
      <c r="C11" s="10" t="s">
        <v>81</v>
      </c>
      <c r="D11" s="14" t="s">
        <v>66</v>
      </c>
      <c r="E11" s="6" t="s">
        <v>20</v>
      </c>
      <c r="F11" s="11" t="s">
        <v>67</v>
      </c>
      <c r="G11" s="10">
        <v>0.5</v>
      </c>
      <c r="H11" s="10">
        <v>0.5</v>
      </c>
      <c r="I11" s="10"/>
      <c r="J11" s="10"/>
    </row>
    <row r="12" spans="1:10">
      <c r="A12" s="10" t="s">
        <v>82</v>
      </c>
      <c r="B12" s="10" t="s">
        <v>83</v>
      </c>
      <c r="C12" s="10" t="s">
        <v>84</v>
      </c>
      <c r="D12" s="14" t="s">
        <v>66</v>
      </c>
      <c r="E12" s="6" t="s">
        <v>20</v>
      </c>
      <c r="F12" s="11" t="s">
        <v>67</v>
      </c>
      <c r="G12" s="10">
        <v>2</v>
      </c>
      <c r="H12" s="10">
        <v>2</v>
      </c>
      <c r="I12" s="10"/>
      <c r="J12" s="10" t="s">
        <v>85</v>
      </c>
    </row>
    <row r="13" spans="1:10">
      <c r="A13" s="10" t="s">
        <v>86</v>
      </c>
      <c r="B13" s="10" t="s">
        <v>87</v>
      </c>
      <c r="C13" s="10" t="s">
        <v>88</v>
      </c>
      <c r="D13" s="14" t="s">
        <v>66</v>
      </c>
      <c r="E13" s="6" t="s">
        <v>20</v>
      </c>
      <c r="F13" s="11" t="s">
        <v>67</v>
      </c>
      <c r="G13" s="10">
        <v>1.5</v>
      </c>
      <c r="H13" s="10">
        <v>2</v>
      </c>
      <c r="I13" s="10"/>
      <c r="J13" s="10"/>
    </row>
    <row r="14" spans="1:10">
      <c r="A14" s="10" t="s">
        <v>89</v>
      </c>
      <c r="B14" s="10" t="s">
        <v>87</v>
      </c>
      <c r="C14" s="10" t="s">
        <v>90</v>
      </c>
      <c r="D14" s="14" t="s">
        <v>66</v>
      </c>
      <c r="E14" s="6" t="s">
        <v>20</v>
      </c>
      <c r="F14" s="11" t="s">
        <v>67</v>
      </c>
      <c r="G14" s="10">
        <v>0.5</v>
      </c>
      <c r="H14" s="10">
        <v>0.5</v>
      </c>
      <c r="I14" s="10"/>
      <c r="J14" s="10"/>
    </row>
    <row r="15" spans="1:10">
      <c r="A15" s="10" t="s">
        <v>91</v>
      </c>
      <c r="B15" s="10" t="s">
        <v>92</v>
      </c>
      <c r="C15" s="10" t="s">
        <v>93</v>
      </c>
      <c r="D15" s="14" t="s">
        <v>66</v>
      </c>
      <c r="E15" s="6" t="s">
        <v>20</v>
      </c>
      <c r="F15" s="4" t="s">
        <v>94</v>
      </c>
      <c r="G15" s="10">
        <v>1</v>
      </c>
      <c r="H15" s="10">
        <v>1</v>
      </c>
      <c r="I15" s="10"/>
      <c r="J15" s="10"/>
    </row>
    <row r="16" spans="1:10">
      <c r="A16" s="10" t="s">
        <v>95</v>
      </c>
      <c r="B16" s="10" t="s">
        <v>92</v>
      </c>
      <c r="C16" s="10" t="s">
        <v>96</v>
      </c>
      <c r="D16" s="14" t="s">
        <v>66</v>
      </c>
      <c r="E16" s="6" t="s">
        <v>20</v>
      </c>
      <c r="F16" s="4" t="s">
        <v>94</v>
      </c>
      <c r="G16" s="10">
        <v>0.5</v>
      </c>
      <c r="H16" s="10">
        <v>0.5</v>
      </c>
      <c r="I16" s="10"/>
      <c r="J16" s="10"/>
    </row>
    <row r="17" spans="1:10">
      <c r="A17" s="10" t="s">
        <v>97</v>
      </c>
      <c r="B17" s="10" t="s">
        <v>92</v>
      </c>
      <c r="C17" s="10" t="s">
        <v>98</v>
      </c>
      <c r="D17" s="14" t="s">
        <v>66</v>
      </c>
      <c r="E17" s="6" t="s">
        <v>20</v>
      </c>
      <c r="F17" s="11" t="s">
        <v>67</v>
      </c>
      <c r="G17" s="10">
        <v>2</v>
      </c>
      <c r="H17" s="10">
        <v>2</v>
      </c>
      <c r="I17" s="10"/>
      <c r="J17" s="10"/>
    </row>
    <row r="18" spans="1:10">
      <c r="A18" s="10" t="s">
        <v>99</v>
      </c>
      <c r="B18" s="10" t="s">
        <v>92</v>
      </c>
      <c r="C18" s="10" t="s">
        <v>100</v>
      </c>
      <c r="D18" s="14" t="s">
        <v>66</v>
      </c>
      <c r="E18" s="6" t="s">
        <v>20</v>
      </c>
      <c r="F18" s="4" t="s">
        <v>101</v>
      </c>
      <c r="G18" s="10">
        <v>0.5</v>
      </c>
      <c r="H18" s="10">
        <v>0.5</v>
      </c>
      <c r="I18" s="10"/>
      <c r="J18" s="10"/>
    </row>
  </sheetData>
  <mergeCells count="1">
    <mergeCell ref="A1:J1"/>
  </mergeCells>
  <conditionalFormatting sqref="E5:E100">
    <cfRule type="cellIs" dxfId="23" priority="1" operator="equal">
      <formula>"Complete"</formula>
    </cfRule>
    <cfRule type="cellIs" dxfId="22" priority="2" operator="equal">
      <formula>"In Progress"</formula>
    </cfRule>
    <cfRule type="cellIs" dxfId="21" priority="3" operator="equal">
      <formula>"Blocked"</formula>
    </cfRule>
    <cfRule type="cellIs" dxfId="20" priority="4" operator="equal">
      <formula>"Not Started"</formula>
    </cfRule>
  </conditionalFormatting>
  <dataValidations count="2">
    <dataValidation type="list" errorTitle="Invalid Entry" error="Invalid status" sqref="E5 E6 E7 E8 E9 E10 E11 E12 E13 E14 E15 E16 E17 E18 E19" xr:uid="{00000000-0002-0000-0100-000000000000}">
      <formula1>"Not Started,In Progress,Complete,Blocked"</formula1>
    </dataValidation>
    <dataValidation type="list" errorTitle="Invalid Entry" error="Invalid priority" sqref="F5 F6 F7 F8 F9 F10 F11 F12 F13 F14 F15 F16 F17 F18 F19" xr:uid="{00000000-0002-0000-0100-000001000000}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>
      <pane ySplit="4" topLeftCell="A8" activePane="bottomLeft" state="frozen"/>
      <selection pane="bottomLeft" activeCell="G28" sqref="G28"/>
    </sheetView>
  </sheetViews>
  <sheetFormatPr defaultRowHeight="14.4"/>
  <cols>
    <col min="1" max="1" width="10" customWidth="1"/>
    <col min="2" max="2" width="9" customWidth="1"/>
    <col min="3" max="3" width="45" customWidth="1"/>
    <col min="4" max="4" width="10" customWidth="1"/>
    <col min="5" max="5" width="12" customWidth="1"/>
    <col min="6" max="7" width="10" customWidth="1"/>
    <col min="8" max="8" width="12" customWidth="1"/>
    <col min="9" max="9" width="25" customWidth="1"/>
    <col min="10" max="10" width="35" customWidth="1"/>
  </cols>
  <sheetData>
    <row r="1" spans="1:10" ht="25.05" customHeight="1">
      <c r="A1" s="42" t="s">
        <v>102</v>
      </c>
      <c r="B1" s="40"/>
      <c r="C1" s="40"/>
      <c r="D1" s="40"/>
      <c r="E1" s="40"/>
      <c r="F1" s="40"/>
      <c r="G1" s="40"/>
      <c r="H1" s="40"/>
      <c r="I1" s="40"/>
      <c r="J1" s="40"/>
    </row>
    <row r="2" spans="1:10">
      <c r="A2" t="s">
        <v>54</v>
      </c>
      <c r="B2" s="25" t="s">
        <v>20</v>
      </c>
    </row>
    <row r="4" spans="1:10">
      <c r="A4" s="3" t="s">
        <v>55</v>
      </c>
      <c r="B4" s="3" t="s">
        <v>56</v>
      </c>
      <c r="C4" s="3" t="s">
        <v>57</v>
      </c>
      <c r="D4" s="3" t="s">
        <v>58</v>
      </c>
      <c r="E4" s="3" t="s">
        <v>13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18</v>
      </c>
    </row>
    <row r="5" spans="1:10">
      <c r="A5" s="10" t="s">
        <v>103</v>
      </c>
      <c r="B5" s="10" t="s">
        <v>64</v>
      </c>
      <c r="C5" s="10" t="s">
        <v>104</v>
      </c>
      <c r="D5" s="14" t="s">
        <v>66</v>
      </c>
      <c r="E5" s="6" t="s">
        <v>20</v>
      </c>
      <c r="F5" s="11" t="s">
        <v>67</v>
      </c>
      <c r="G5" s="10">
        <v>1</v>
      </c>
      <c r="H5" s="10">
        <v>1</v>
      </c>
      <c r="I5" s="10"/>
      <c r="J5" s="10"/>
    </row>
    <row r="6" spans="1:10">
      <c r="A6" s="10" t="s">
        <v>105</v>
      </c>
      <c r="B6" s="10" t="s">
        <v>64</v>
      </c>
      <c r="C6" s="10" t="s">
        <v>106</v>
      </c>
      <c r="D6" s="14" t="s">
        <v>66</v>
      </c>
      <c r="E6" s="6" t="s">
        <v>20</v>
      </c>
      <c r="F6" s="11" t="s">
        <v>67</v>
      </c>
      <c r="G6" s="10">
        <v>0.5</v>
      </c>
      <c r="H6" s="10">
        <v>0.5</v>
      </c>
      <c r="I6" s="10"/>
      <c r="J6" s="10"/>
    </row>
    <row r="7" spans="1:10">
      <c r="A7" s="10" t="s">
        <v>107</v>
      </c>
      <c r="B7" s="10" t="s">
        <v>64</v>
      </c>
      <c r="C7" s="10" t="s">
        <v>108</v>
      </c>
      <c r="D7" s="14" t="s">
        <v>66</v>
      </c>
      <c r="E7" s="6" t="s">
        <v>20</v>
      </c>
      <c r="F7" s="11" t="s">
        <v>67</v>
      </c>
      <c r="G7" s="10">
        <v>0.5</v>
      </c>
      <c r="H7" s="10">
        <v>0.5</v>
      </c>
      <c r="I7" s="10"/>
      <c r="J7" s="10"/>
    </row>
    <row r="8" spans="1:10">
      <c r="A8" s="10" t="s">
        <v>109</v>
      </c>
      <c r="B8" s="10" t="s">
        <v>64</v>
      </c>
      <c r="C8" s="10" t="s">
        <v>110</v>
      </c>
      <c r="D8" s="14" t="s">
        <v>66</v>
      </c>
      <c r="E8" s="13" t="s">
        <v>20</v>
      </c>
      <c r="F8" s="11" t="s">
        <v>67</v>
      </c>
      <c r="G8" s="10">
        <v>1</v>
      </c>
      <c r="H8" s="10">
        <v>2</v>
      </c>
      <c r="I8" s="10" t="s">
        <v>111</v>
      </c>
      <c r="J8" s="10" t="s">
        <v>112</v>
      </c>
    </row>
    <row r="9" spans="1:10">
      <c r="A9" s="10" t="s">
        <v>113</v>
      </c>
      <c r="B9" s="10" t="s">
        <v>75</v>
      </c>
      <c r="C9" s="10" t="s">
        <v>114</v>
      </c>
      <c r="D9" s="10" t="s">
        <v>66</v>
      </c>
      <c r="E9" s="15" t="s">
        <v>20</v>
      </c>
      <c r="F9" s="11" t="s">
        <v>67</v>
      </c>
      <c r="G9" s="10">
        <v>1.5</v>
      </c>
      <c r="H9" s="10">
        <v>2</v>
      </c>
      <c r="I9" s="14" t="s">
        <v>115</v>
      </c>
      <c r="J9" s="14" t="s">
        <v>116</v>
      </c>
    </row>
    <row r="10" spans="1:10">
      <c r="A10" s="10" t="s">
        <v>117</v>
      </c>
      <c r="B10" s="10" t="s">
        <v>75</v>
      </c>
      <c r="C10" s="10" t="s">
        <v>118</v>
      </c>
      <c r="D10" s="10" t="s">
        <v>66</v>
      </c>
      <c r="E10" s="7" t="s">
        <v>20</v>
      </c>
      <c r="F10" s="11" t="s">
        <v>67</v>
      </c>
      <c r="G10" s="10">
        <v>1</v>
      </c>
      <c r="H10" s="10">
        <v>0.5</v>
      </c>
      <c r="I10" s="10"/>
      <c r="J10" s="10"/>
    </row>
    <row r="11" spans="1:10">
      <c r="A11" s="10" t="s">
        <v>119</v>
      </c>
      <c r="B11" s="10" t="s">
        <v>75</v>
      </c>
      <c r="C11" s="10" t="s">
        <v>120</v>
      </c>
      <c r="D11" s="10" t="s">
        <v>66</v>
      </c>
      <c r="E11" s="7" t="s">
        <v>20</v>
      </c>
      <c r="F11" s="11" t="s">
        <v>67</v>
      </c>
      <c r="G11" s="10">
        <v>1</v>
      </c>
      <c r="H11" s="10">
        <v>0.5</v>
      </c>
      <c r="I11" s="10"/>
      <c r="J11" s="10"/>
    </row>
    <row r="12" spans="1:10">
      <c r="A12" s="10" t="s">
        <v>121</v>
      </c>
      <c r="B12" s="10" t="s">
        <v>75</v>
      </c>
      <c r="C12" s="10" t="s">
        <v>122</v>
      </c>
      <c r="D12" s="10" t="s">
        <v>66</v>
      </c>
      <c r="E12" s="7" t="s">
        <v>20</v>
      </c>
      <c r="F12" s="11" t="s">
        <v>67</v>
      </c>
      <c r="G12" s="10">
        <v>1</v>
      </c>
      <c r="H12" s="10">
        <v>1</v>
      </c>
      <c r="I12" s="10"/>
      <c r="J12" s="10"/>
    </row>
    <row r="13" spans="1:10">
      <c r="A13" s="10" t="s">
        <v>123</v>
      </c>
      <c r="B13" s="10" t="s">
        <v>75</v>
      </c>
      <c r="C13" s="10" t="s">
        <v>124</v>
      </c>
      <c r="D13" s="10" t="s">
        <v>66</v>
      </c>
      <c r="E13" s="7" t="s">
        <v>20</v>
      </c>
      <c r="F13" s="11" t="s">
        <v>67</v>
      </c>
      <c r="G13" s="10">
        <v>0.5</v>
      </c>
      <c r="H13" s="10">
        <v>0.5</v>
      </c>
      <c r="I13" s="10"/>
      <c r="J13" s="10"/>
    </row>
    <row r="14" spans="1:10">
      <c r="A14" s="10" t="s">
        <v>125</v>
      </c>
      <c r="B14" s="10" t="s">
        <v>83</v>
      </c>
      <c r="C14" s="10" t="s">
        <v>126</v>
      </c>
      <c r="D14" s="10" t="s">
        <v>66</v>
      </c>
      <c r="E14" s="7" t="s">
        <v>20</v>
      </c>
      <c r="F14" s="11" t="s">
        <v>67</v>
      </c>
      <c r="G14" s="10">
        <v>2</v>
      </c>
      <c r="H14" s="10">
        <v>2</v>
      </c>
      <c r="I14" s="10"/>
      <c r="J14" s="10"/>
    </row>
    <row r="15" spans="1:10">
      <c r="A15" s="10" t="s">
        <v>127</v>
      </c>
      <c r="B15" s="10" t="s">
        <v>83</v>
      </c>
      <c r="C15" s="10" t="s">
        <v>128</v>
      </c>
      <c r="D15" s="10" t="s">
        <v>66</v>
      </c>
      <c r="E15" s="7" t="s">
        <v>20</v>
      </c>
      <c r="F15" s="11" t="s">
        <v>67</v>
      </c>
      <c r="G15" s="10">
        <v>2</v>
      </c>
      <c r="H15" s="10">
        <v>2</v>
      </c>
      <c r="I15" s="10"/>
      <c r="J15" s="10"/>
    </row>
    <row r="16" spans="1:10">
      <c r="A16" s="10" t="s">
        <v>129</v>
      </c>
      <c r="B16" s="10" t="s">
        <v>83</v>
      </c>
      <c r="C16" s="10" t="s">
        <v>130</v>
      </c>
      <c r="D16" s="10" t="s">
        <v>66</v>
      </c>
      <c r="E16" s="7" t="s">
        <v>20</v>
      </c>
      <c r="F16" s="11" t="s">
        <v>67</v>
      </c>
      <c r="G16" s="10">
        <v>1</v>
      </c>
      <c r="H16" s="10">
        <v>1</v>
      </c>
      <c r="I16" s="10"/>
      <c r="J16" s="10"/>
    </row>
    <row r="17" spans="1:10">
      <c r="A17" s="10" t="s">
        <v>131</v>
      </c>
      <c r="B17" s="10" t="s">
        <v>87</v>
      </c>
      <c r="C17" s="10" t="s">
        <v>132</v>
      </c>
      <c r="D17" s="10" t="s">
        <v>66</v>
      </c>
      <c r="E17" s="7" t="s">
        <v>20</v>
      </c>
      <c r="F17" s="11" t="s">
        <v>67</v>
      </c>
      <c r="G17" s="10">
        <v>1.5</v>
      </c>
      <c r="H17" s="10">
        <v>1</v>
      </c>
      <c r="I17" s="10"/>
      <c r="J17" s="10"/>
    </row>
    <row r="18" spans="1:10">
      <c r="A18" s="10" t="s">
        <v>133</v>
      </c>
      <c r="B18" s="10" t="s">
        <v>87</v>
      </c>
      <c r="C18" s="10" t="s">
        <v>134</v>
      </c>
      <c r="D18" s="10" t="s">
        <v>66</v>
      </c>
      <c r="E18" s="7" t="s">
        <v>20</v>
      </c>
      <c r="F18" s="11" t="s">
        <v>67</v>
      </c>
      <c r="G18" s="10">
        <v>1</v>
      </c>
      <c r="H18" s="10">
        <v>1.5</v>
      </c>
      <c r="I18" s="10"/>
      <c r="J18" s="10"/>
    </row>
    <row r="19" spans="1:10">
      <c r="A19" s="10" t="s">
        <v>135</v>
      </c>
      <c r="B19" s="10" t="s">
        <v>87</v>
      </c>
      <c r="C19" s="10" t="s">
        <v>136</v>
      </c>
      <c r="D19" s="10" t="s">
        <v>66</v>
      </c>
      <c r="E19" s="7" t="s">
        <v>20</v>
      </c>
      <c r="F19" s="11" t="s">
        <v>67</v>
      </c>
      <c r="G19" s="10">
        <v>1</v>
      </c>
      <c r="H19" s="10">
        <v>0.5</v>
      </c>
      <c r="I19" s="10"/>
      <c r="J19" s="10"/>
    </row>
    <row r="20" spans="1:10">
      <c r="A20" s="10" t="s">
        <v>137</v>
      </c>
      <c r="B20" s="10" t="s">
        <v>87</v>
      </c>
      <c r="C20" s="10" t="s">
        <v>138</v>
      </c>
      <c r="D20" s="10" t="s">
        <v>66</v>
      </c>
      <c r="E20" s="7" t="s">
        <v>20</v>
      </c>
      <c r="F20" s="4" t="s">
        <v>94</v>
      </c>
      <c r="G20" s="10">
        <v>0.5</v>
      </c>
      <c r="H20" s="10">
        <v>0.5</v>
      </c>
      <c r="I20" s="10"/>
      <c r="J20" s="10"/>
    </row>
    <row r="21" spans="1:10">
      <c r="A21" s="10" t="s">
        <v>139</v>
      </c>
      <c r="B21" s="10" t="s">
        <v>92</v>
      </c>
      <c r="C21" s="10" t="s">
        <v>140</v>
      </c>
      <c r="D21" s="10" t="s">
        <v>66</v>
      </c>
      <c r="E21" s="7" t="s">
        <v>20</v>
      </c>
      <c r="F21" s="11" t="s">
        <v>67</v>
      </c>
      <c r="G21" s="10">
        <v>1.5</v>
      </c>
      <c r="H21" s="10">
        <v>1.5</v>
      </c>
      <c r="I21" s="10"/>
      <c r="J21" s="10"/>
    </row>
    <row r="22" spans="1:10">
      <c r="A22" s="10" t="s">
        <v>141</v>
      </c>
      <c r="B22" s="10" t="s">
        <v>92</v>
      </c>
      <c r="C22" s="10" t="s">
        <v>142</v>
      </c>
      <c r="D22" s="10" t="s">
        <v>66</v>
      </c>
      <c r="E22" s="7" t="s">
        <v>20</v>
      </c>
      <c r="F22" s="4" t="s">
        <v>94</v>
      </c>
      <c r="G22" s="10">
        <v>1</v>
      </c>
      <c r="H22" s="10">
        <v>1</v>
      </c>
      <c r="I22" s="10"/>
      <c r="J22" s="10"/>
    </row>
    <row r="23" spans="1:10">
      <c r="A23" s="10" t="s">
        <v>143</v>
      </c>
      <c r="B23" s="10" t="s">
        <v>92</v>
      </c>
      <c r="C23" s="10" t="s">
        <v>144</v>
      </c>
      <c r="D23" s="10" t="s">
        <v>66</v>
      </c>
      <c r="E23" s="7" t="s">
        <v>20</v>
      </c>
      <c r="F23" s="11" t="s">
        <v>67</v>
      </c>
      <c r="G23" s="10">
        <v>1.5</v>
      </c>
      <c r="H23" s="10">
        <v>0.5</v>
      </c>
      <c r="I23" s="10"/>
      <c r="J23" s="10"/>
    </row>
    <row r="24" spans="1:10">
      <c r="A24" s="10" t="s">
        <v>145</v>
      </c>
      <c r="B24" s="10" t="s">
        <v>92</v>
      </c>
      <c r="C24" s="10" t="s">
        <v>146</v>
      </c>
      <c r="D24" s="10" t="s">
        <v>66</v>
      </c>
      <c r="E24" s="7" t="s">
        <v>20</v>
      </c>
      <c r="F24" s="11" t="s">
        <v>67</v>
      </c>
      <c r="G24" s="10">
        <v>1</v>
      </c>
      <c r="H24" s="10">
        <v>0.5</v>
      </c>
      <c r="I24" s="10"/>
      <c r="J24" s="10"/>
    </row>
    <row r="25" spans="1:10">
      <c r="A25" s="10" t="s">
        <v>147</v>
      </c>
      <c r="B25" s="10" t="s">
        <v>92</v>
      </c>
      <c r="C25" s="10" t="s">
        <v>148</v>
      </c>
      <c r="D25" s="10" t="s">
        <v>66</v>
      </c>
      <c r="E25" s="7" t="s">
        <v>20</v>
      </c>
      <c r="F25" s="4" t="s">
        <v>101</v>
      </c>
      <c r="G25" s="10">
        <v>0.5</v>
      </c>
      <c r="H25" s="10">
        <v>0.5</v>
      </c>
      <c r="I25" s="10"/>
      <c r="J25" s="10"/>
    </row>
  </sheetData>
  <mergeCells count="1">
    <mergeCell ref="A1:J1"/>
  </mergeCells>
  <conditionalFormatting sqref="E5:E100">
    <cfRule type="cellIs" dxfId="19" priority="1" operator="equal">
      <formula>"Complete"</formula>
    </cfRule>
    <cfRule type="cellIs" dxfId="18" priority="2" operator="equal">
      <formula>"In Progress"</formula>
    </cfRule>
    <cfRule type="cellIs" dxfId="17" priority="3" operator="equal">
      <formula>"Blocked"</formula>
    </cfRule>
    <cfRule type="cellIs" dxfId="16" priority="4" operator="equal">
      <formula>"Not Started"</formula>
    </cfRule>
  </conditionalFormatting>
  <dataValidations count="2">
    <dataValidation type="list" errorTitle="Invalid Entry" error="Invalid status" sqref="E5 E6 E7 E8 E9 E10 E11 E12 E13 E14 E15 E16 E17 E18 E19 E20 E21 E22 E23 E24 E25 E26" xr:uid="{00000000-0002-0000-0200-000000000000}">
      <formula1>"Not Started,In Progress,Complete,Blocked"</formula1>
    </dataValidation>
    <dataValidation type="list" errorTitle="Invalid Entry" error="Invalid priority" sqref="F5 F6 F7 F8 F9 F10 F11 F12 F13 F14 F15 F16 F17 F18 F19 F20 F21 F22 F23 F24 F25 F26" xr:uid="{00000000-0002-0000-0200-000001000000}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workbookViewId="0">
      <pane ySplit="4" topLeftCell="A20" activePane="bottomLeft" state="frozen"/>
      <selection pane="bottomLeft" activeCell="C11" sqref="C11"/>
    </sheetView>
  </sheetViews>
  <sheetFormatPr defaultRowHeight="14.4"/>
  <cols>
    <col min="1" max="1" width="10" customWidth="1"/>
    <col min="2" max="2" width="8.44140625" customWidth="1"/>
    <col min="3" max="3" width="45" customWidth="1"/>
    <col min="4" max="4" width="10" customWidth="1"/>
    <col min="5" max="5" width="12" customWidth="1"/>
    <col min="6" max="7" width="10" customWidth="1"/>
    <col min="8" max="8" width="12" customWidth="1"/>
    <col min="9" max="9" width="25" customWidth="1"/>
    <col min="10" max="10" width="35" customWidth="1"/>
  </cols>
  <sheetData>
    <row r="1" spans="1:10" ht="25.05" customHeight="1">
      <c r="A1" s="42" t="s">
        <v>149</v>
      </c>
      <c r="B1" s="40"/>
      <c r="C1" s="40"/>
      <c r="D1" s="40"/>
      <c r="E1" s="40"/>
      <c r="F1" s="40"/>
      <c r="G1" s="40"/>
      <c r="H1" s="40"/>
      <c r="I1" s="40"/>
      <c r="J1" s="40"/>
    </row>
    <row r="2" spans="1:10">
      <c r="A2" t="s">
        <v>54</v>
      </c>
      <c r="B2" s="27" t="s">
        <v>20</v>
      </c>
    </row>
    <row r="4" spans="1:10">
      <c r="A4" s="3" t="s">
        <v>55</v>
      </c>
      <c r="B4" s="3" t="s">
        <v>56</v>
      </c>
      <c r="C4" s="3" t="s">
        <v>57</v>
      </c>
      <c r="D4" s="3" t="s">
        <v>58</v>
      </c>
      <c r="E4" s="3" t="s">
        <v>13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18</v>
      </c>
    </row>
    <row r="5" spans="1:10">
      <c r="A5" s="10" t="s">
        <v>150</v>
      </c>
      <c r="B5" s="10" t="s">
        <v>64</v>
      </c>
      <c r="C5" s="10" t="s">
        <v>151</v>
      </c>
      <c r="D5" s="10" t="s">
        <v>66</v>
      </c>
      <c r="E5" s="7" t="s">
        <v>20</v>
      </c>
      <c r="F5" s="11" t="s">
        <v>67</v>
      </c>
      <c r="G5" s="10">
        <v>1</v>
      </c>
      <c r="H5" s="10">
        <v>1</v>
      </c>
      <c r="I5" s="10"/>
      <c r="J5" s="10"/>
    </row>
    <row r="6" spans="1:10">
      <c r="A6" s="10" t="s">
        <v>152</v>
      </c>
      <c r="B6" s="10" t="s">
        <v>64</v>
      </c>
      <c r="C6" s="10" t="s">
        <v>153</v>
      </c>
      <c r="D6" s="10" t="s">
        <v>66</v>
      </c>
      <c r="E6" s="7" t="s">
        <v>20</v>
      </c>
      <c r="F6" s="11" t="s">
        <v>67</v>
      </c>
      <c r="G6" s="10">
        <v>0.5</v>
      </c>
      <c r="H6" s="10">
        <v>0.5</v>
      </c>
      <c r="I6" s="10"/>
      <c r="J6" s="10"/>
    </row>
    <row r="7" spans="1:10">
      <c r="A7" s="10" t="s">
        <v>154</v>
      </c>
      <c r="B7" s="10" t="s">
        <v>64</v>
      </c>
      <c r="C7" s="10" t="s">
        <v>155</v>
      </c>
      <c r="D7" s="10" t="s">
        <v>66</v>
      </c>
      <c r="E7" s="7" t="s">
        <v>20</v>
      </c>
      <c r="F7" s="11" t="s">
        <v>67</v>
      </c>
      <c r="G7" s="10">
        <v>1</v>
      </c>
      <c r="H7" s="10">
        <v>1</v>
      </c>
      <c r="I7" s="10"/>
      <c r="J7" s="10"/>
    </row>
    <row r="8" spans="1:10">
      <c r="A8" s="10" t="s">
        <v>156</v>
      </c>
      <c r="B8" s="10" t="s">
        <v>64</v>
      </c>
      <c r="C8" s="10" t="s">
        <v>157</v>
      </c>
      <c r="D8" s="10" t="s">
        <v>66</v>
      </c>
      <c r="E8" s="7" t="s">
        <v>20</v>
      </c>
      <c r="F8" s="11" t="s">
        <v>67</v>
      </c>
      <c r="G8" s="10">
        <v>1.5</v>
      </c>
      <c r="H8" s="10">
        <v>1.5</v>
      </c>
      <c r="I8" s="10"/>
      <c r="J8" s="10"/>
    </row>
    <row r="9" spans="1:10">
      <c r="A9" s="10" t="s">
        <v>158</v>
      </c>
      <c r="B9" s="10" t="s">
        <v>64</v>
      </c>
      <c r="C9" s="10" t="s">
        <v>159</v>
      </c>
      <c r="D9" s="10" t="s">
        <v>66</v>
      </c>
      <c r="E9" s="7" t="s">
        <v>20</v>
      </c>
      <c r="F9" s="4" t="s">
        <v>94</v>
      </c>
      <c r="G9" s="10">
        <v>1</v>
      </c>
      <c r="H9" s="10">
        <v>2</v>
      </c>
      <c r="I9" s="10"/>
      <c r="J9" s="10"/>
    </row>
    <row r="10" spans="1:10">
      <c r="A10" s="10" t="s">
        <v>160</v>
      </c>
      <c r="B10" s="10" t="s">
        <v>75</v>
      </c>
      <c r="C10" s="10" t="s">
        <v>161</v>
      </c>
      <c r="D10" s="10" t="s">
        <v>66</v>
      </c>
      <c r="E10" s="7" t="s">
        <v>20</v>
      </c>
      <c r="F10" s="11" t="s">
        <v>67</v>
      </c>
      <c r="G10" s="10">
        <v>2</v>
      </c>
      <c r="H10" s="10">
        <v>2</v>
      </c>
      <c r="I10" s="10"/>
      <c r="J10" s="10"/>
    </row>
    <row r="11" spans="1:10">
      <c r="A11" s="10" t="s">
        <v>162</v>
      </c>
      <c r="B11" s="10" t="s">
        <v>75</v>
      </c>
      <c r="C11" s="10" t="s">
        <v>163</v>
      </c>
      <c r="D11" s="10" t="s">
        <v>66</v>
      </c>
      <c r="E11" s="7" t="s">
        <v>20</v>
      </c>
      <c r="F11" s="11" t="s">
        <v>67</v>
      </c>
      <c r="G11" s="10">
        <v>1.5</v>
      </c>
      <c r="H11" s="10">
        <v>0</v>
      </c>
      <c r="I11" s="10"/>
      <c r="J11" s="10" t="s">
        <v>373</v>
      </c>
    </row>
    <row r="12" spans="1:10">
      <c r="A12" s="10" t="s">
        <v>164</v>
      </c>
      <c r="B12" s="10" t="s">
        <v>75</v>
      </c>
      <c r="C12" s="10" t="s">
        <v>165</v>
      </c>
      <c r="D12" s="10" t="s">
        <v>66</v>
      </c>
      <c r="E12" s="7" t="s">
        <v>20</v>
      </c>
      <c r="F12" s="11" t="s">
        <v>67</v>
      </c>
      <c r="G12" s="10">
        <v>0.5</v>
      </c>
      <c r="H12" s="10">
        <v>0.5</v>
      </c>
      <c r="I12" s="10"/>
      <c r="J12" s="10"/>
    </row>
    <row r="13" spans="1:10">
      <c r="A13" s="10" t="s">
        <v>166</v>
      </c>
      <c r="B13" s="10" t="s">
        <v>75</v>
      </c>
      <c r="C13" s="10" t="s">
        <v>167</v>
      </c>
      <c r="D13" s="10" t="s">
        <v>66</v>
      </c>
      <c r="E13" s="7" t="s">
        <v>20</v>
      </c>
      <c r="F13" s="11" t="s">
        <v>67</v>
      </c>
      <c r="G13" s="10">
        <v>1</v>
      </c>
      <c r="H13" s="10">
        <v>1</v>
      </c>
      <c r="I13" s="10"/>
      <c r="J13" s="10"/>
    </row>
    <row r="14" spans="1:10">
      <c r="A14" s="10" t="s">
        <v>168</v>
      </c>
      <c r="B14" s="10" t="s">
        <v>83</v>
      </c>
      <c r="C14" s="10" t="s">
        <v>374</v>
      </c>
      <c r="D14" s="10" t="s">
        <v>66</v>
      </c>
      <c r="E14" s="7" t="s">
        <v>20</v>
      </c>
      <c r="F14" s="11" t="s">
        <v>67</v>
      </c>
      <c r="G14" s="10">
        <v>2</v>
      </c>
      <c r="H14" s="10">
        <v>2</v>
      </c>
      <c r="I14" s="10"/>
      <c r="J14" s="10"/>
    </row>
    <row r="15" spans="1:10">
      <c r="A15" s="10" t="s">
        <v>170</v>
      </c>
      <c r="B15" s="10" t="s">
        <v>83</v>
      </c>
      <c r="C15" s="10" t="s">
        <v>375</v>
      </c>
      <c r="D15" s="10" t="s">
        <v>66</v>
      </c>
      <c r="E15" s="7" t="s">
        <v>20</v>
      </c>
      <c r="F15" s="11" t="s">
        <v>67</v>
      </c>
      <c r="G15" s="10">
        <v>1.5</v>
      </c>
      <c r="H15" s="10">
        <v>1.5</v>
      </c>
      <c r="I15" s="10"/>
      <c r="J15" s="10"/>
    </row>
    <row r="16" spans="1:10">
      <c r="A16" s="10" t="s">
        <v>172</v>
      </c>
      <c r="B16" s="10" t="s">
        <v>83</v>
      </c>
      <c r="C16" s="10" t="s">
        <v>376</v>
      </c>
      <c r="D16" s="10" t="s">
        <v>66</v>
      </c>
      <c r="E16" s="7" t="s">
        <v>20</v>
      </c>
      <c r="F16" s="11" t="s">
        <v>67</v>
      </c>
      <c r="G16" s="10">
        <v>1</v>
      </c>
      <c r="H16" s="10">
        <v>1</v>
      </c>
      <c r="I16" s="10"/>
      <c r="J16" s="10"/>
    </row>
    <row r="17" spans="1:10">
      <c r="A17" s="10" t="s">
        <v>174</v>
      </c>
      <c r="B17" s="10" t="s">
        <v>83</v>
      </c>
      <c r="C17" s="10" t="s">
        <v>377</v>
      </c>
      <c r="D17" s="10" t="s">
        <v>66</v>
      </c>
      <c r="E17" s="7" t="s">
        <v>20</v>
      </c>
      <c r="F17" s="11" t="s">
        <v>67</v>
      </c>
      <c r="G17" s="10">
        <v>1</v>
      </c>
      <c r="H17" s="10">
        <v>0.5</v>
      </c>
      <c r="I17" s="10"/>
      <c r="J17" s="10"/>
    </row>
    <row r="18" spans="1:10">
      <c r="A18" s="10" t="s">
        <v>176</v>
      </c>
      <c r="B18" s="10" t="s">
        <v>83</v>
      </c>
      <c r="C18" s="10" t="s">
        <v>378</v>
      </c>
      <c r="D18" s="10" t="s">
        <v>66</v>
      </c>
      <c r="E18" s="7" t="s">
        <v>20</v>
      </c>
      <c r="F18" s="11" t="s">
        <v>94</v>
      </c>
      <c r="G18" s="10">
        <v>0.5</v>
      </c>
      <c r="H18" s="10">
        <v>0.5</v>
      </c>
      <c r="I18" s="10"/>
      <c r="J18" s="10"/>
    </row>
    <row r="19" spans="1:10">
      <c r="A19" s="10" t="s">
        <v>178</v>
      </c>
      <c r="B19" s="10" t="s">
        <v>83</v>
      </c>
      <c r="C19" s="10" t="s">
        <v>169</v>
      </c>
      <c r="D19" s="10" t="s">
        <v>66</v>
      </c>
      <c r="E19" s="7" t="s">
        <v>20</v>
      </c>
      <c r="F19" s="11" t="s">
        <v>67</v>
      </c>
      <c r="G19" s="10">
        <v>2</v>
      </c>
      <c r="H19" s="10">
        <v>2.5</v>
      </c>
      <c r="I19" s="10" t="s">
        <v>384</v>
      </c>
      <c r="J19" s="10" t="s">
        <v>385</v>
      </c>
    </row>
    <row r="20" spans="1:10">
      <c r="A20" s="10" t="s">
        <v>180</v>
      </c>
      <c r="B20" s="10" t="s">
        <v>83</v>
      </c>
      <c r="C20" s="10" t="s">
        <v>171</v>
      </c>
      <c r="D20" s="10" t="s">
        <v>66</v>
      </c>
      <c r="E20" s="7" t="s">
        <v>20</v>
      </c>
      <c r="F20" s="11" t="s">
        <v>67</v>
      </c>
      <c r="G20" s="10">
        <v>1</v>
      </c>
      <c r="H20" s="10">
        <v>1</v>
      </c>
      <c r="I20" s="10"/>
      <c r="J20" s="10"/>
    </row>
    <row r="21" spans="1:10">
      <c r="A21" s="10" t="s">
        <v>182</v>
      </c>
      <c r="B21" s="10" t="s">
        <v>83</v>
      </c>
      <c r="C21" s="10" t="s">
        <v>173</v>
      </c>
      <c r="D21" s="10" t="s">
        <v>66</v>
      </c>
      <c r="E21" s="7" t="s">
        <v>20</v>
      </c>
      <c r="F21" s="11" t="s">
        <v>67</v>
      </c>
      <c r="G21" s="10">
        <v>1</v>
      </c>
      <c r="H21" s="10">
        <v>1</v>
      </c>
      <c r="I21" s="10"/>
      <c r="J21" s="10"/>
    </row>
    <row r="22" spans="1:10">
      <c r="A22" s="10" t="s">
        <v>184</v>
      </c>
      <c r="B22" s="10" t="s">
        <v>87</v>
      </c>
      <c r="C22" s="10" t="s">
        <v>175</v>
      </c>
      <c r="D22" s="10" t="s">
        <v>66</v>
      </c>
      <c r="E22" s="7" t="s">
        <v>20</v>
      </c>
      <c r="F22" s="11" t="s">
        <v>67</v>
      </c>
      <c r="G22" s="10">
        <v>2</v>
      </c>
      <c r="H22" s="10">
        <v>0</v>
      </c>
      <c r="I22" s="10"/>
      <c r="J22" s="10" t="s">
        <v>386</v>
      </c>
    </row>
    <row r="23" spans="1:10">
      <c r="A23" s="10" t="s">
        <v>186</v>
      </c>
      <c r="B23" s="10" t="s">
        <v>87</v>
      </c>
      <c r="C23" s="10" t="s">
        <v>177</v>
      </c>
      <c r="D23" s="10" t="s">
        <v>66</v>
      </c>
      <c r="E23" s="7" t="s">
        <v>20</v>
      </c>
      <c r="F23" s="4" t="s">
        <v>94</v>
      </c>
      <c r="G23" s="10">
        <v>1</v>
      </c>
      <c r="H23" s="10">
        <v>0</v>
      </c>
      <c r="I23" s="10"/>
      <c r="J23" s="10" t="s">
        <v>387</v>
      </c>
    </row>
    <row r="24" spans="1:10">
      <c r="A24" s="10" t="s">
        <v>188</v>
      </c>
      <c r="B24" s="10" t="s">
        <v>87</v>
      </c>
      <c r="C24" s="10" t="s">
        <v>179</v>
      </c>
      <c r="D24" s="10" t="s">
        <v>66</v>
      </c>
      <c r="E24" s="7" t="s">
        <v>20</v>
      </c>
      <c r="F24" s="4" t="s">
        <v>94</v>
      </c>
      <c r="G24" s="10">
        <v>1.5</v>
      </c>
      <c r="H24" s="10">
        <v>0</v>
      </c>
      <c r="I24" s="10"/>
      <c r="J24" s="10" t="s">
        <v>387</v>
      </c>
    </row>
    <row r="25" spans="1:10">
      <c r="A25" s="10" t="s">
        <v>379</v>
      </c>
      <c r="B25" s="10" t="s">
        <v>92</v>
      </c>
      <c r="C25" s="10" t="s">
        <v>181</v>
      </c>
      <c r="D25" s="10" t="s">
        <v>66</v>
      </c>
      <c r="E25" s="7" t="s">
        <v>20</v>
      </c>
      <c r="F25" s="4" t="s">
        <v>94</v>
      </c>
      <c r="G25" s="10">
        <v>1</v>
      </c>
      <c r="H25" s="10">
        <v>1</v>
      </c>
      <c r="I25" s="10"/>
      <c r="J25" s="10"/>
    </row>
    <row r="26" spans="1:10">
      <c r="A26" s="10" t="s">
        <v>380</v>
      </c>
      <c r="B26" s="10" t="s">
        <v>92</v>
      </c>
      <c r="C26" s="10" t="s">
        <v>183</v>
      </c>
      <c r="D26" s="10" t="s">
        <v>66</v>
      </c>
      <c r="E26" s="7" t="s">
        <v>20</v>
      </c>
      <c r="F26" s="4" t="s">
        <v>94</v>
      </c>
      <c r="G26" s="10">
        <v>0.5</v>
      </c>
      <c r="H26" s="10">
        <v>0.5</v>
      </c>
      <c r="I26" s="10"/>
      <c r="J26" s="10"/>
    </row>
    <row r="27" spans="1:10">
      <c r="A27" s="10" t="s">
        <v>381</v>
      </c>
      <c r="B27" s="10" t="s">
        <v>92</v>
      </c>
      <c r="C27" s="10" t="s">
        <v>185</v>
      </c>
      <c r="D27" s="10" t="s">
        <v>66</v>
      </c>
      <c r="E27" s="7" t="s">
        <v>20</v>
      </c>
      <c r="F27" s="11" t="s">
        <v>67</v>
      </c>
      <c r="G27" s="10">
        <v>1</v>
      </c>
      <c r="H27" s="10">
        <v>0</v>
      </c>
      <c r="I27" s="10"/>
      <c r="J27" s="10"/>
    </row>
    <row r="28" spans="1:10">
      <c r="A28" s="10" t="s">
        <v>382</v>
      </c>
      <c r="B28" s="10" t="s">
        <v>92</v>
      </c>
      <c r="C28" s="10" t="s">
        <v>187</v>
      </c>
      <c r="D28" s="10" t="s">
        <v>66</v>
      </c>
      <c r="E28" s="7" t="s">
        <v>20</v>
      </c>
      <c r="F28" s="11" t="s">
        <v>67</v>
      </c>
      <c r="G28" s="10">
        <v>1.5</v>
      </c>
      <c r="H28" s="10">
        <v>1</v>
      </c>
      <c r="I28" s="10"/>
      <c r="J28" s="10"/>
    </row>
    <row r="29" spans="1:10">
      <c r="A29" s="10" t="s">
        <v>383</v>
      </c>
      <c r="B29" s="10" t="s">
        <v>92</v>
      </c>
      <c r="C29" s="10" t="s">
        <v>189</v>
      </c>
      <c r="D29" s="10" t="s">
        <v>66</v>
      </c>
      <c r="E29" s="7" t="s">
        <v>20</v>
      </c>
      <c r="F29" s="4" t="s">
        <v>101</v>
      </c>
      <c r="G29" s="10">
        <v>0.5</v>
      </c>
      <c r="H29" s="10">
        <v>0.5</v>
      </c>
      <c r="I29" s="10"/>
      <c r="J29" s="10"/>
    </row>
  </sheetData>
  <mergeCells count="1">
    <mergeCell ref="A1:J1"/>
  </mergeCells>
  <conditionalFormatting sqref="E5:E105">
    <cfRule type="cellIs" dxfId="15" priority="1" operator="equal">
      <formula>"Complete"</formula>
    </cfRule>
    <cfRule type="cellIs" dxfId="14" priority="2" operator="equal">
      <formula>"In Progress"</formula>
    </cfRule>
    <cfRule type="cellIs" dxfId="13" priority="3" operator="equal">
      <formula>"Blocked"</formula>
    </cfRule>
    <cfRule type="cellIs" dxfId="12" priority="4" operator="equal">
      <formula>"Not Started"</formula>
    </cfRule>
  </conditionalFormatting>
  <dataValidations count="2">
    <dataValidation type="list" errorTitle="Invalid Entry" error="Invalid status" sqref="E5 E6 E7 E8 E9 E10 E11 E12 E13:E18 E19 E20 E21 E22 E23 E24 E25 E26 E27 E28 E29 E30" xr:uid="{00000000-0002-0000-0300-000000000000}">
      <formula1>"Not Started,In Progress,Complete,Blocked"</formula1>
    </dataValidation>
    <dataValidation type="list" errorTitle="Invalid Entry" error="Invalid priority" sqref="F5 F6 F7 F8 F9 F10 F11 F12 F13:F18 F19 F20 F21 F22 F23 F24 F25 F26 F27 F28 F29 F30" xr:uid="{00000000-0002-0000-0300-000001000000}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pane ySplit="4" topLeftCell="A5" activePane="bottomLeft" state="frozen"/>
      <selection pane="bottomLeft" activeCell="B2" sqref="B2"/>
    </sheetView>
  </sheetViews>
  <sheetFormatPr defaultRowHeight="14.4"/>
  <cols>
    <col min="1" max="1" width="10" customWidth="1"/>
    <col min="2" max="2" width="9.77734375" customWidth="1"/>
    <col min="3" max="3" width="45" customWidth="1"/>
    <col min="4" max="4" width="10" customWidth="1"/>
    <col min="5" max="5" width="12" customWidth="1"/>
    <col min="6" max="7" width="10" customWidth="1"/>
    <col min="8" max="8" width="12" customWidth="1"/>
    <col min="9" max="9" width="25" customWidth="1"/>
    <col min="10" max="10" width="35" customWidth="1"/>
  </cols>
  <sheetData>
    <row r="1" spans="1:10" ht="25.05" customHeight="1">
      <c r="A1" s="42" t="s">
        <v>190</v>
      </c>
      <c r="B1" s="40"/>
      <c r="C1" s="40"/>
      <c r="D1" s="40"/>
      <c r="E1" s="40"/>
      <c r="F1" s="40"/>
      <c r="G1" s="40"/>
      <c r="H1" s="40"/>
      <c r="I1" s="40"/>
      <c r="J1" s="40"/>
    </row>
    <row r="2" spans="1:10">
      <c r="A2" t="s">
        <v>54</v>
      </c>
      <c r="B2" s="27" t="s">
        <v>20</v>
      </c>
    </row>
    <row r="4" spans="1:10">
      <c r="A4" s="3" t="s">
        <v>55</v>
      </c>
      <c r="B4" s="3" t="s">
        <v>56</v>
      </c>
      <c r="C4" s="3" t="s">
        <v>57</v>
      </c>
      <c r="D4" s="3" t="s">
        <v>58</v>
      </c>
      <c r="E4" s="3" t="s">
        <v>13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18</v>
      </c>
    </row>
    <row r="5" spans="1:10">
      <c r="A5" s="10" t="s">
        <v>191</v>
      </c>
      <c r="B5" s="10" t="s">
        <v>64</v>
      </c>
      <c r="C5" s="10" t="s">
        <v>192</v>
      </c>
      <c r="D5" s="10" t="s">
        <v>66</v>
      </c>
      <c r="E5" s="7" t="s">
        <v>20</v>
      </c>
      <c r="F5" s="11" t="s">
        <v>67</v>
      </c>
      <c r="G5" s="10">
        <v>2</v>
      </c>
      <c r="H5" s="10">
        <v>2</v>
      </c>
      <c r="I5" s="10"/>
      <c r="J5" s="10"/>
    </row>
    <row r="6" spans="1:10">
      <c r="A6" s="10" t="s">
        <v>193</v>
      </c>
      <c r="B6" s="10" t="s">
        <v>64</v>
      </c>
      <c r="C6" s="10" t="s">
        <v>194</v>
      </c>
      <c r="D6" s="10" t="s">
        <v>66</v>
      </c>
      <c r="E6" s="7" t="s">
        <v>20</v>
      </c>
      <c r="F6" s="11" t="s">
        <v>67</v>
      </c>
      <c r="G6" s="10">
        <v>1.5</v>
      </c>
      <c r="H6" s="10">
        <v>1.5</v>
      </c>
      <c r="I6" s="10"/>
      <c r="J6" s="10"/>
    </row>
    <row r="7" spans="1:10">
      <c r="A7" s="10" t="s">
        <v>195</v>
      </c>
      <c r="B7" s="10" t="s">
        <v>64</v>
      </c>
      <c r="C7" s="10" t="s">
        <v>196</v>
      </c>
      <c r="D7" s="10" t="s">
        <v>66</v>
      </c>
      <c r="E7" s="7" t="s">
        <v>20</v>
      </c>
      <c r="F7" s="11" t="s">
        <v>67</v>
      </c>
      <c r="G7" s="10">
        <v>0.5</v>
      </c>
      <c r="H7" s="10">
        <v>0.5</v>
      </c>
      <c r="I7" s="10"/>
      <c r="J7" s="10"/>
    </row>
    <row r="8" spans="1:10">
      <c r="A8" s="10" t="s">
        <v>197</v>
      </c>
      <c r="B8" s="10" t="s">
        <v>64</v>
      </c>
      <c r="C8" s="10" t="s">
        <v>198</v>
      </c>
      <c r="D8" s="10" t="s">
        <v>66</v>
      </c>
      <c r="E8" s="7" t="s">
        <v>20</v>
      </c>
      <c r="F8" s="11" t="s">
        <v>67</v>
      </c>
      <c r="G8" s="10">
        <v>0.5</v>
      </c>
      <c r="H8" s="10">
        <v>0.5</v>
      </c>
      <c r="I8" s="10"/>
      <c r="J8" s="10"/>
    </row>
    <row r="9" spans="1:10">
      <c r="A9" s="10" t="s">
        <v>199</v>
      </c>
      <c r="B9" s="10" t="s">
        <v>75</v>
      </c>
      <c r="C9" s="10" t="s">
        <v>200</v>
      </c>
      <c r="D9" s="10" t="s">
        <v>66</v>
      </c>
      <c r="E9" s="7" t="s">
        <v>20</v>
      </c>
      <c r="F9" s="11" t="s">
        <v>67</v>
      </c>
      <c r="G9" s="10">
        <v>2</v>
      </c>
      <c r="H9" s="10">
        <v>2</v>
      </c>
      <c r="I9" s="10"/>
      <c r="J9" s="10"/>
    </row>
    <row r="10" spans="1:10">
      <c r="A10" s="10" t="s">
        <v>201</v>
      </c>
      <c r="B10" s="10" t="s">
        <v>75</v>
      </c>
      <c r="C10" s="10" t="s">
        <v>202</v>
      </c>
      <c r="D10" s="10" t="s">
        <v>66</v>
      </c>
      <c r="E10" s="7" t="s">
        <v>20</v>
      </c>
      <c r="F10" s="11" t="s">
        <v>67</v>
      </c>
      <c r="G10" s="10">
        <v>1.5</v>
      </c>
      <c r="H10" s="10">
        <v>1.5</v>
      </c>
      <c r="I10" s="10"/>
      <c r="J10" s="10"/>
    </row>
    <row r="11" spans="1:10">
      <c r="A11" s="10" t="s">
        <v>203</v>
      </c>
      <c r="B11" s="10" t="s">
        <v>75</v>
      </c>
      <c r="C11" s="10" t="s">
        <v>204</v>
      </c>
      <c r="D11" s="10" t="s">
        <v>66</v>
      </c>
      <c r="E11" s="7" t="s">
        <v>20</v>
      </c>
      <c r="F11" s="11" t="s">
        <v>67</v>
      </c>
      <c r="G11" s="10">
        <v>0.5</v>
      </c>
      <c r="H11" s="10">
        <v>0.5</v>
      </c>
      <c r="I11" s="10"/>
      <c r="J11" s="10"/>
    </row>
    <row r="12" spans="1:10">
      <c r="A12" s="10" t="s">
        <v>205</v>
      </c>
      <c r="B12" s="10" t="s">
        <v>75</v>
      </c>
      <c r="C12" s="10" t="s">
        <v>206</v>
      </c>
      <c r="D12" s="10" t="s">
        <v>66</v>
      </c>
      <c r="E12" s="7" t="s">
        <v>20</v>
      </c>
      <c r="F12" s="11" t="s">
        <v>67</v>
      </c>
      <c r="G12" s="10">
        <v>1</v>
      </c>
      <c r="H12" s="10">
        <v>4</v>
      </c>
      <c r="I12" s="10" t="s">
        <v>394</v>
      </c>
      <c r="J12" s="10" t="s">
        <v>395</v>
      </c>
    </row>
    <row r="13" spans="1:10">
      <c r="A13" s="10" t="s">
        <v>207</v>
      </c>
      <c r="B13" s="10" t="s">
        <v>83</v>
      </c>
      <c r="C13" s="10" t="s">
        <v>208</v>
      </c>
      <c r="D13" s="10" t="s">
        <v>66</v>
      </c>
      <c r="E13" s="7" t="s">
        <v>20</v>
      </c>
      <c r="F13" s="11" t="s">
        <v>67</v>
      </c>
      <c r="G13" s="10">
        <v>2</v>
      </c>
      <c r="H13" s="10">
        <v>2</v>
      </c>
      <c r="I13" s="10"/>
      <c r="J13" s="10"/>
    </row>
    <row r="14" spans="1:10">
      <c r="A14" s="10" t="s">
        <v>209</v>
      </c>
      <c r="B14" s="10" t="s">
        <v>83</v>
      </c>
      <c r="C14" s="10" t="s">
        <v>210</v>
      </c>
      <c r="D14" s="10" t="s">
        <v>66</v>
      </c>
      <c r="E14" s="7" t="s">
        <v>20</v>
      </c>
      <c r="F14" s="11" t="s">
        <v>67</v>
      </c>
      <c r="G14" s="10">
        <v>1</v>
      </c>
      <c r="H14" s="10">
        <v>1</v>
      </c>
      <c r="I14" s="10"/>
      <c r="J14" s="10"/>
    </row>
    <row r="15" spans="1:10">
      <c r="A15" s="10" t="s">
        <v>211</v>
      </c>
      <c r="B15" s="10" t="s">
        <v>83</v>
      </c>
      <c r="C15" s="10" t="s">
        <v>212</v>
      </c>
      <c r="D15" s="10" t="s">
        <v>66</v>
      </c>
      <c r="E15" s="7" t="s">
        <v>20</v>
      </c>
      <c r="F15" s="11" t="s">
        <v>67</v>
      </c>
      <c r="G15" s="10">
        <v>1</v>
      </c>
      <c r="H15" s="10">
        <v>2</v>
      </c>
      <c r="I15" s="10"/>
      <c r="J15" s="10" t="s">
        <v>397</v>
      </c>
    </row>
    <row r="16" spans="1:10">
      <c r="A16" s="10" t="s">
        <v>213</v>
      </c>
      <c r="B16" s="10" t="s">
        <v>87</v>
      </c>
      <c r="C16" s="10" t="s">
        <v>214</v>
      </c>
      <c r="D16" s="10" t="s">
        <v>66</v>
      </c>
      <c r="E16" s="7" t="s">
        <v>20</v>
      </c>
      <c r="F16" s="4" t="s">
        <v>94</v>
      </c>
      <c r="G16" s="10">
        <v>1</v>
      </c>
      <c r="H16" s="10">
        <v>2</v>
      </c>
      <c r="I16" s="10" t="s">
        <v>398</v>
      </c>
      <c r="J16" s="10" t="s">
        <v>399</v>
      </c>
    </row>
    <row r="17" spans="1:10">
      <c r="A17" s="10" t="s">
        <v>215</v>
      </c>
      <c r="B17" s="10" t="s">
        <v>87</v>
      </c>
      <c r="C17" s="10" t="s">
        <v>403</v>
      </c>
      <c r="D17" s="10" t="s">
        <v>66</v>
      </c>
      <c r="E17" s="7" t="s">
        <v>20</v>
      </c>
      <c r="F17" s="11" t="s">
        <v>67</v>
      </c>
      <c r="G17" s="10">
        <v>2</v>
      </c>
      <c r="H17" s="10">
        <v>3</v>
      </c>
      <c r="I17" s="10"/>
      <c r="J17" s="10"/>
    </row>
    <row r="18" spans="1:10">
      <c r="A18" s="10" t="s">
        <v>216</v>
      </c>
      <c r="B18" s="10" t="s">
        <v>87</v>
      </c>
      <c r="C18" s="10" t="s">
        <v>404</v>
      </c>
      <c r="D18" s="10" t="s">
        <v>66</v>
      </c>
      <c r="E18" s="7" t="s">
        <v>20</v>
      </c>
      <c r="F18" s="11" t="s">
        <v>67</v>
      </c>
      <c r="G18" s="10">
        <v>1.5</v>
      </c>
      <c r="H18" s="10">
        <v>1.5</v>
      </c>
      <c r="I18" s="10"/>
      <c r="J18" s="10"/>
    </row>
    <row r="19" spans="1:10">
      <c r="A19" s="10" t="s">
        <v>217</v>
      </c>
      <c r="B19" s="10" t="s">
        <v>87</v>
      </c>
      <c r="C19" s="10" t="s">
        <v>405</v>
      </c>
      <c r="D19" s="10" t="s">
        <v>66</v>
      </c>
      <c r="E19" s="7" t="s">
        <v>20</v>
      </c>
      <c r="F19" s="11" t="s">
        <v>67</v>
      </c>
      <c r="G19" s="10">
        <v>1</v>
      </c>
      <c r="H19" s="10">
        <v>2.5</v>
      </c>
      <c r="I19" s="10" t="s">
        <v>406</v>
      </c>
      <c r="J19" s="10"/>
    </row>
    <row r="20" spans="1:10">
      <c r="A20" s="10" t="s">
        <v>218</v>
      </c>
      <c r="B20" s="10" t="s">
        <v>92</v>
      </c>
      <c r="C20" s="10" t="s">
        <v>219</v>
      </c>
      <c r="D20" s="10" t="s">
        <v>66</v>
      </c>
      <c r="E20" s="7" t="s">
        <v>20</v>
      </c>
      <c r="F20" s="11" t="s">
        <v>67</v>
      </c>
      <c r="G20" s="10">
        <v>1.5</v>
      </c>
      <c r="H20" s="10">
        <v>0</v>
      </c>
      <c r="I20" s="10"/>
      <c r="J20" s="10" t="s">
        <v>407</v>
      </c>
    </row>
    <row r="21" spans="1:10">
      <c r="A21" s="10" t="s">
        <v>220</v>
      </c>
      <c r="B21" s="10" t="s">
        <v>92</v>
      </c>
      <c r="C21" s="10" t="s">
        <v>221</v>
      </c>
      <c r="D21" s="10" t="s">
        <v>66</v>
      </c>
      <c r="E21" s="7" t="s">
        <v>20</v>
      </c>
      <c r="F21" s="11" t="s">
        <v>67</v>
      </c>
      <c r="G21" s="10">
        <v>1</v>
      </c>
      <c r="H21" s="10">
        <v>0</v>
      </c>
      <c r="I21" s="10"/>
      <c r="J21" s="10" t="s">
        <v>407</v>
      </c>
    </row>
    <row r="22" spans="1:10">
      <c r="A22" s="10" t="s">
        <v>222</v>
      </c>
      <c r="B22" s="10" t="s">
        <v>92</v>
      </c>
      <c r="C22" s="10" t="s">
        <v>223</v>
      </c>
      <c r="D22" s="10" t="s">
        <v>66</v>
      </c>
      <c r="E22" s="7" t="s">
        <v>20</v>
      </c>
      <c r="F22" s="4" t="s">
        <v>94</v>
      </c>
      <c r="G22" s="10">
        <v>1</v>
      </c>
      <c r="H22" s="10">
        <v>1</v>
      </c>
      <c r="I22" s="10"/>
      <c r="J22" s="10"/>
    </row>
    <row r="23" spans="1:10">
      <c r="A23" s="10" t="s">
        <v>224</v>
      </c>
      <c r="B23" s="10" t="s">
        <v>92</v>
      </c>
      <c r="C23" s="10" t="s">
        <v>225</v>
      </c>
      <c r="D23" s="10" t="s">
        <v>66</v>
      </c>
      <c r="E23" s="7" t="s">
        <v>20</v>
      </c>
      <c r="F23" s="11" t="s">
        <v>67</v>
      </c>
      <c r="G23" s="10">
        <v>1.5</v>
      </c>
      <c r="H23" s="10">
        <v>1.5</v>
      </c>
      <c r="I23" s="10"/>
      <c r="J23" s="10"/>
    </row>
    <row r="24" spans="1:10">
      <c r="A24" s="10" t="s">
        <v>226</v>
      </c>
      <c r="B24" s="10" t="s">
        <v>92</v>
      </c>
      <c r="C24" s="10" t="s">
        <v>227</v>
      </c>
      <c r="D24" s="10" t="s">
        <v>66</v>
      </c>
      <c r="E24" s="7" t="s">
        <v>20</v>
      </c>
      <c r="F24" s="4" t="s">
        <v>101</v>
      </c>
      <c r="G24" s="10">
        <v>0.5</v>
      </c>
      <c r="H24" s="10">
        <v>0.5</v>
      </c>
      <c r="I24" s="10"/>
      <c r="J24" s="10"/>
    </row>
  </sheetData>
  <mergeCells count="1">
    <mergeCell ref="A1:J1"/>
  </mergeCells>
  <conditionalFormatting sqref="E5:E100">
    <cfRule type="cellIs" dxfId="11" priority="1" operator="equal">
      <formula>"Complete"</formula>
    </cfRule>
    <cfRule type="cellIs" dxfId="10" priority="2" operator="equal">
      <formula>"In Progress"</formula>
    </cfRule>
    <cfRule type="cellIs" dxfId="9" priority="3" operator="equal">
      <formula>"Blocked"</formula>
    </cfRule>
    <cfRule type="cellIs" dxfId="8" priority="4" operator="equal">
      <formula>"Not Started"</formula>
    </cfRule>
  </conditionalFormatting>
  <dataValidations count="2">
    <dataValidation type="list" errorTitle="Invalid Entry" error="Invalid status" sqref="E5 E6 E7 E8 E9 E10 E11 E12 E13 E14 E15 E16 E17 E18 E19 E20 E21 E22 E23 E24 E25" xr:uid="{00000000-0002-0000-0400-000000000000}">
      <formula1>"Not Started,In Progress,Complete,Blocked"</formula1>
    </dataValidation>
    <dataValidation type="list" errorTitle="Invalid Entry" error="Invalid priority" sqref="F5 F6 F7 F8 F9 F10 F11 F12 F13 F14 F15 F16 F17 F18 F19 F20 F21 F22 F23 F24 F25" xr:uid="{00000000-0002-0000-0400-000001000000}">
      <formula1>"High,Medium,Low"</formula1>
    </dataValidation>
  </dataValidation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topLeftCell="C1" workbookViewId="0">
      <pane ySplit="4" topLeftCell="A5" activePane="bottomLeft" state="frozen"/>
      <selection pane="bottomLeft" activeCell="J8" sqref="J8"/>
    </sheetView>
  </sheetViews>
  <sheetFormatPr defaultRowHeight="14.4"/>
  <cols>
    <col min="1" max="1" width="10" customWidth="1"/>
    <col min="2" max="2" width="10.44140625" bestFit="1" customWidth="1"/>
    <col min="3" max="3" width="59.88671875" customWidth="1"/>
    <col min="4" max="4" width="10" customWidth="1"/>
    <col min="5" max="5" width="12" customWidth="1"/>
    <col min="6" max="7" width="10" customWidth="1"/>
    <col min="8" max="8" width="12" customWidth="1"/>
    <col min="9" max="9" width="25" customWidth="1"/>
    <col min="10" max="10" width="80.33203125" customWidth="1"/>
  </cols>
  <sheetData>
    <row r="1" spans="1:10" ht="25.05" customHeight="1">
      <c r="A1" s="42" t="s">
        <v>228</v>
      </c>
      <c r="B1" s="40"/>
      <c r="C1" s="40"/>
      <c r="D1" s="40"/>
      <c r="E1" s="40"/>
      <c r="F1" s="40"/>
      <c r="G1" s="40"/>
      <c r="H1" s="40"/>
      <c r="I1" s="40"/>
      <c r="J1" s="40"/>
    </row>
    <row r="2" spans="1:10">
      <c r="A2" t="s">
        <v>54</v>
      </c>
      <c r="B2" s="29" t="s">
        <v>389</v>
      </c>
    </row>
    <row r="4" spans="1:10">
      <c r="A4" s="3" t="s">
        <v>55</v>
      </c>
      <c r="B4" s="3" t="s">
        <v>56</v>
      </c>
      <c r="C4" s="3" t="s">
        <v>57</v>
      </c>
      <c r="D4" s="3" t="s">
        <v>58</v>
      </c>
      <c r="E4" s="3" t="s">
        <v>13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18</v>
      </c>
    </row>
    <row r="5" spans="1:10">
      <c r="A5" s="10" t="s">
        <v>229</v>
      </c>
      <c r="B5" s="10" t="s">
        <v>64</v>
      </c>
      <c r="C5" s="10" t="s">
        <v>418</v>
      </c>
      <c r="D5" s="10" t="s">
        <v>66</v>
      </c>
      <c r="E5" s="7" t="s">
        <v>25</v>
      </c>
      <c r="F5" s="11" t="s">
        <v>67</v>
      </c>
      <c r="G5" s="10">
        <v>1</v>
      </c>
      <c r="H5" s="10">
        <v>0</v>
      </c>
      <c r="I5" s="10"/>
      <c r="J5" s="14" t="s">
        <v>419</v>
      </c>
    </row>
    <row r="6" spans="1:10">
      <c r="A6" s="10" t="s">
        <v>231</v>
      </c>
      <c r="B6" s="10" t="s">
        <v>64</v>
      </c>
      <c r="C6" s="10" t="s">
        <v>420</v>
      </c>
      <c r="D6" s="10" t="s">
        <v>66</v>
      </c>
      <c r="E6" s="7" t="s">
        <v>29</v>
      </c>
      <c r="F6" s="11" t="s">
        <v>67</v>
      </c>
      <c r="G6" s="10">
        <v>1.5</v>
      </c>
      <c r="H6" s="10">
        <v>0</v>
      </c>
      <c r="I6" s="10"/>
      <c r="J6" s="14" t="s">
        <v>421</v>
      </c>
    </row>
    <row r="7" spans="1:10">
      <c r="A7" s="10" t="s">
        <v>233</v>
      </c>
      <c r="B7" s="10" t="s">
        <v>64</v>
      </c>
      <c r="C7" s="10" t="s">
        <v>422</v>
      </c>
      <c r="D7" s="10" t="s">
        <v>66</v>
      </c>
      <c r="E7" s="7" t="s">
        <v>29</v>
      </c>
      <c r="F7" s="11" t="s">
        <v>67</v>
      </c>
      <c r="G7" s="10">
        <v>2</v>
      </c>
      <c r="H7" s="10">
        <v>0</v>
      </c>
      <c r="I7" s="10"/>
      <c r="J7" s="14" t="s">
        <v>423</v>
      </c>
    </row>
    <row r="8" spans="1:10">
      <c r="A8" s="10" t="s">
        <v>235</v>
      </c>
      <c r="B8" s="10" t="s">
        <v>64</v>
      </c>
      <c r="C8" s="10" t="s">
        <v>424</v>
      </c>
      <c r="D8" s="10" t="s">
        <v>66</v>
      </c>
      <c r="E8" s="7" t="s">
        <v>29</v>
      </c>
      <c r="F8" s="11" t="s">
        <v>67</v>
      </c>
      <c r="G8" s="10">
        <v>1</v>
      </c>
      <c r="H8" s="10">
        <v>0</v>
      </c>
      <c r="I8" s="10"/>
      <c r="J8" s="14" t="s">
        <v>425</v>
      </c>
    </row>
    <row r="9" spans="1:10">
      <c r="A9" s="10" t="s">
        <v>237</v>
      </c>
      <c r="B9" s="10" t="s">
        <v>64</v>
      </c>
      <c r="C9" s="10" t="s">
        <v>250</v>
      </c>
      <c r="D9" s="10" t="s">
        <v>66</v>
      </c>
      <c r="E9" s="7" t="s">
        <v>29</v>
      </c>
      <c r="F9" s="48" t="s">
        <v>94</v>
      </c>
      <c r="G9" s="10">
        <v>0.25</v>
      </c>
      <c r="H9" s="10">
        <v>0</v>
      </c>
      <c r="I9" s="10"/>
      <c r="J9" s="10" t="s">
        <v>426</v>
      </c>
    </row>
    <row r="10" spans="1:10">
      <c r="A10" s="10" t="s">
        <v>239</v>
      </c>
      <c r="B10" s="10" t="s">
        <v>64</v>
      </c>
      <c r="C10" t="s">
        <v>252</v>
      </c>
      <c r="D10" s="10" t="s">
        <v>66</v>
      </c>
      <c r="E10" s="7" t="s">
        <v>29</v>
      </c>
      <c r="F10" s="48" t="s">
        <v>94</v>
      </c>
      <c r="G10" s="10">
        <v>0.25</v>
      </c>
      <c r="H10" s="10">
        <v>0</v>
      </c>
      <c r="I10" s="10"/>
      <c r="J10" s="10" t="s">
        <v>427</v>
      </c>
    </row>
    <row r="11" spans="1:10">
      <c r="A11" s="10" t="s">
        <v>240</v>
      </c>
      <c r="B11" s="10" t="s">
        <v>64</v>
      </c>
      <c r="C11" s="44" t="s">
        <v>254</v>
      </c>
      <c r="D11" s="10" t="s">
        <v>66</v>
      </c>
      <c r="E11" s="7" t="s">
        <v>29</v>
      </c>
      <c r="F11" s="48" t="s">
        <v>94</v>
      </c>
      <c r="G11" s="10">
        <v>0.25</v>
      </c>
      <c r="H11" s="10">
        <v>0</v>
      </c>
      <c r="I11" s="10"/>
      <c r="J11" s="45" t="s">
        <v>428</v>
      </c>
    </row>
    <row r="12" spans="1:10">
      <c r="A12" s="10" t="s">
        <v>242</v>
      </c>
      <c r="B12" s="10" t="s">
        <v>75</v>
      </c>
      <c r="C12" s="10" t="s">
        <v>230</v>
      </c>
      <c r="D12" s="10" t="s">
        <v>66</v>
      </c>
      <c r="E12" s="7" t="s">
        <v>29</v>
      </c>
      <c r="F12" s="11" t="s">
        <v>67</v>
      </c>
      <c r="G12" s="10">
        <v>2</v>
      </c>
      <c r="H12" s="10">
        <v>0</v>
      </c>
      <c r="I12" s="10"/>
      <c r="J12" s="10" t="s">
        <v>429</v>
      </c>
    </row>
    <row r="13" spans="1:10">
      <c r="A13" s="10" t="s">
        <v>244</v>
      </c>
      <c r="B13" s="10" t="s">
        <v>75</v>
      </c>
      <c r="C13" s="10" t="s">
        <v>232</v>
      </c>
      <c r="D13" s="10" t="s">
        <v>66</v>
      </c>
      <c r="E13" s="7" t="s">
        <v>29</v>
      </c>
      <c r="F13" s="11" t="s">
        <v>67</v>
      </c>
      <c r="G13" s="10">
        <v>1</v>
      </c>
      <c r="H13" s="10">
        <v>0</v>
      </c>
      <c r="I13" s="10"/>
      <c r="J13" s="10" t="s">
        <v>430</v>
      </c>
    </row>
    <row r="14" spans="1:10">
      <c r="A14" s="10" t="s">
        <v>246</v>
      </c>
      <c r="B14" s="10" t="s">
        <v>75</v>
      </c>
      <c r="C14" s="10" t="s">
        <v>234</v>
      </c>
      <c r="D14" s="10" t="s">
        <v>66</v>
      </c>
      <c r="E14" s="7" t="s">
        <v>29</v>
      </c>
      <c r="F14" s="11" t="s">
        <v>67</v>
      </c>
      <c r="G14" s="10">
        <v>0.5</v>
      </c>
      <c r="H14" s="10">
        <v>0</v>
      </c>
      <c r="I14" s="10"/>
      <c r="J14" s="45" t="s">
        <v>431</v>
      </c>
    </row>
    <row r="15" spans="1:10">
      <c r="A15" s="10" t="s">
        <v>248</v>
      </c>
      <c r="B15" s="10" t="s">
        <v>75</v>
      </c>
      <c r="C15" s="10" t="s">
        <v>432</v>
      </c>
      <c r="D15" s="10" t="s">
        <v>66</v>
      </c>
      <c r="E15" s="7" t="s">
        <v>29</v>
      </c>
      <c r="F15" s="48" t="s">
        <v>94</v>
      </c>
      <c r="G15" s="10">
        <v>0.25</v>
      </c>
      <c r="H15" s="10">
        <v>0</v>
      </c>
      <c r="I15" s="10"/>
      <c r="J15" s="45" t="s">
        <v>433</v>
      </c>
    </row>
    <row r="16" spans="1:10">
      <c r="A16" s="10" t="s">
        <v>249</v>
      </c>
      <c r="B16" s="10" t="s">
        <v>75</v>
      </c>
      <c r="C16" s="10" t="s">
        <v>236</v>
      </c>
      <c r="D16" s="10" t="s">
        <v>66</v>
      </c>
      <c r="E16" s="7" t="s">
        <v>29</v>
      </c>
      <c r="F16" s="4" t="s">
        <v>94</v>
      </c>
      <c r="G16" s="10">
        <v>1</v>
      </c>
      <c r="H16" s="10">
        <v>0</v>
      </c>
      <c r="I16" s="10"/>
      <c r="J16" s="10"/>
    </row>
    <row r="17" spans="1:10">
      <c r="A17" s="10" t="s">
        <v>251</v>
      </c>
      <c r="B17" s="10" t="s">
        <v>75</v>
      </c>
      <c r="C17" s="10" t="s">
        <v>238</v>
      </c>
      <c r="D17" s="10" t="s">
        <v>66</v>
      </c>
      <c r="E17" s="7" t="s">
        <v>29</v>
      </c>
      <c r="F17" s="48" t="s">
        <v>94</v>
      </c>
      <c r="G17" s="10">
        <v>3</v>
      </c>
      <c r="H17" s="10">
        <v>0</v>
      </c>
      <c r="I17" s="10"/>
      <c r="J17" s="45"/>
    </row>
    <row r="18" spans="1:10">
      <c r="A18" s="14" t="s">
        <v>253</v>
      </c>
      <c r="B18" s="10" t="s">
        <v>83</v>
      </c>
      <c r="C18" s="10" t="s">
        <v>434</v>
      </c>
      <c r="D18" s="10" t="s">
        <v>66</v>
      </c>
      <c r="E18" s="7" t="s">
        <v>29</v>
      </c>
      <c r="F18" s="11" t="s">
        <v>67</v>
      </c>
      <c r="G18" s="10">
        <v>2</v>
      </c>
      <c r="H18" s="10">
        <v>0</v>
      </c>
      <c r="I18" s="10"/>
      <c r="J18" s="10" t="s">
        <v>435</v>
      </c>
    </row>
    <row r="19" spans="1:10">
      <c r="A19" s="14" t="s">
        <v>255</v>
      </c>
      <c r="B19" s="10" t="s">
        <v>83</v>
      </c>
      <c r="C19" s="10" t="s">
        <v>436</v>
      </c>
      <c r="D19" s="10" t="s">
        <v>66</v>
      </c>
      <c r="E19" s="7" t="s">
        <v>29</v>
      </c>
      <c r="F19" s="4" t="s">
        <v>94</v>
      </c>
      <c r="G19" s="10">
        <v>0.5</v>
      </c>
      <c r="H19" s="10">
        <v>0</v>
      </c>
      <c r="I19" s="10"/>
      <c r="J19" s="10"/>
    </row>
    <row r="20" spans="1:10">
      <c r="A20" s="14" t="s">
        <v>257</v>
      </c>
      <c r="B20" s="10" t="s">
        <v>83</v>
      </c>
      <c r="C20" s="10" t="s">
        <v>437</v>
      </c>
      <c r="D20" s="10" t="s">
        <v>66</v>
      </c>
      <c r="E20" s="7" t="s">
        <v>29</v>
      </c>
      <c r="F20" s="11" t="s">
        <v>67</v>
      </c>
      <c r="G20" s="10">
        <v>0.5</v>
      </c>
      <c r="H20" s="10">
        <v>0</v>
      </c>
      <c r="I20" s="10"/>
      <c r="J20" s="10" t="s">
        <v>438</v>
      </c>
    </row>
    <row r="21" spans="1:10">
      <c r="A21" s="14" t="s">
        <v>258</v>
      </c>
      <c r="B21" s="10" t="s">
        <v>83</v>
      </c>
      <c r="C21" s="10" t="s">
        <v>439</v>
      </c>
      <c r="D21" s="10" t="s">
        <v>66</v>
      </c>
      <c r="E21" s="7" t="s">
        <v>29</v>
      </c>
      <c r="F21" s="48" t="s">
        <v>94</v>
      </c>
      <c r="G21" s="10">
        <v>0.5</v>
      </c>
      <c r="H21" s="10">
        <v>0</v>
      </c>
      <c r="I21" s="10"/>
      <c r="J21" s="10"/>
    </row>
    <row r="22" spans="1:10">
      <c r="A22" s="14" t="s">
        <v>259</v>
      </c>
      <c r="B22" s="10" t="s">
        <v>83</v>
      </c>
      <c r="C22" s="10" t="s">
        <v>440</v>
      </c>
      <c r="D22" s="10" t="s">
        <v>66</v>
      </c>
      <c r="E22" s="7" t="s">
        <v>29</v>
      </c>
      <c r="F22" s="4" t="s">
        <v>94</v>
      </c>
      <c r="G22" s="10">
        <v>1</v>
      </c>
      <c r="H22" s="10">
        <v>0</v>
      </c>
      <c r="I22" s="10"/>
      <c r="J22" s="10"/>
    </row>
    <row r="23" spans="1:10">
      <c r="A23" s="14" t="s">
        <v>260</v>
      </c>
      <c r="B23" s="10" t="s">
        <v>83</v>
      </c>
      <c r="C23" s="10" t="s">
        <v>441</v>
      </c>
      <c r="D23" s="10" t="s">
        <v>66</v>
      </c>
      <c r="E23" s="7" t="s">
        <v>29</v>
      </c>
      <c r="F23" s="48" t="s">
        <v>101</v>
      </c>
      <c r="G23" s="10">
        <v>1</v>
      </c>
      <c r="H23" s="10">
        <v>0</v>
      </c>
      <c r="I23" s="10"/>
      <c r="J23" s="46" t="s">
        <v>442</v>
      </c>
    </row>
    <row r="24" spans="1:10">
      <c r="A24" s="14" t="s">
        <v>443</v>
      </c>
      <c r="B24" s="10" t="s">
        <v>87</v>
      </c>
      <c r="C24" s="14" t="s">
        <v>451</v>
      </c>
      <c r="D24" s="10" t="s">
        <v>66</v>
      </c>
      <c r="E24" s="7" t="s">
        <v>29</v>
      </c>
      <c r="F24" s="11" t="s">
        <v>67</v>
      </c>
      <c r="G24" s="10">
        <v>1</v>
      </c>
      <c r="H24" s="10">
        <v>0</v>
      </c>
      <c r="I24" s="10"/>
      <c r="J24" s="10"/>
    </row>
    <row r="25" spans="1:10">
      <c r="A25" s="14" t="s">
        <v>444</v>
      </c>
      <c r="B25" s="10" t="s">
        <v>87</v>
      </c>
      <c r="C25" s="14" t="s">
        <v>452</v>
      </c>
      <c r="D25" s="10" t="s">
        <v>66</v>
      </c>
      <c r="E25" s="7" t="s">
        <v>29</v>
      </c>
      <c r="F25" s="11" t="s">
        <v>67</v>
      </c>
      <c r="G25" s="10">
        <v>1.5</v>
      </c>
      <c r="H25" s="10">
        <v>0</v>
      </c>
      <c r="I25" s="10"/>
      <c r="J25" s="45" t="s">
        <v>453</v>
      </c>
    </row>
    <row r="26" spans="1:10">
      <c r="A26" s="14" t="s">
        <v>445</v>
      </c>
      <c r="B26" s="10" t="s">
        <v>87</v>
      </c>
      <c r="C26" s="14" t="s">
        <v>454</v>
      </c>
      <c r="D26" s="10" t="s">
        <v>66</v>
      </c>
      <c r="E26" s="7" t="s">
        <v>29</v>
      </c>
      <c r="F26" s="48" t="s">
        <v>94</v>
      </c>
      <c r="G26" s="10">
        <v>1</v>
      </c>
      <c r="H26" s="10">
        <v>0</v>
      </c>
      <c r="I26" s="10"/>
      <c r="J26" s="45" t="s">
        <v>455</v>
      </c>
    </row>
    <row r="27" spans="1:10">
      <c r="A27" s="14" t="s">
        <v>446</v>
      </c>
      <c r="B27" s="14" t="s">
        <v>87</v>
      </c>
      <c r="C27" s="45" t="s">
        <v>456</v>
      </c>
      <c r="D27" s="14" t="s">
        <v>66</v>
      </c>
      <c r="E27" s="7" t="s">
        <v>29</v>
      </c>
      <c r="F27" s="48" t="s">
        <v>94</v>
      </c>
      <c r="G27" s="10">
        <v>0.5</v>
      </c>
      <c r="H27" s="10">
        <v>0</v>
      </c>
      <c r="I27" s="10"/>
      <c r="J27" s="45" t="s">
        <v>457</v>
      </c>
    </row>
    <row r="28" spans="1:10">
      <c r="A28" s="14" t="s">
        <v>447</v>
      </c>
      <c r="B28" s="14" t="s">
        <v>87</v>
      </c>
      <c r="C28" s="45" t="s">
        <v>458</v>
      </c>
      <c r="D28" s="14" t="s">
        <v>66</v>
      </c>
      <c r="E28" s="7" t="s">
        <v>29</v>
      </c>
      <c r="F28" s="48" t="s">
        <v>101</v>
      </c>
      <c r="G28" s="10">
        <v>0.5</v>
      </c>
      <c r="H28" s="10">
        <v>0</v>
      </c>
      <c r="I28" s="10"/>
      <c r="J28" s="46" t="s">
        <v>459</v>
      </c>
    </row>
    <row r="29" spans="1:10">
      <c r="A29" s="14" t="s">
        <v>448</v>
      </c>
      <c r="B29" s="14" t="s">
        <v>87</v>
      </c>
      <c r="C29" s="45" t="s">
        <v>241</v>
      </c>
      <c r="D29" s="14" t="s">
        <v>66</v>
      </c>
      <c r="E29" s="7" t="s">
        <v>29</v>
      </c>
      <c r="F29" s="48" t="s">
        <v>94</v>
      </c>
      <c r="G29" s="10">
        <v>0.25</v>
      </c>
      <c r="H29" s="10">
        <v>0</v>
      </c>
      <c r="I29" s="10"/>
      <c r="J29" s="47" t="s">
        <v>460</v>
      </c>
    </row>
    <row r="30" spans="1:10">
      <c r="A30" s="14" t="s">
        <v>449</v>
      </c>
      <c r="B30" s="14" t="s">
        <v>87</v>
      </c>
      <c r="C30" s="45" t="s">
        <v>243</v>
      </c>
      <c r="D30" s="14" t="s">
        <v>66</v>
      </c>
      <c r="E30" s="7" t="s">
        <v>29</v>
      </c>
      <c r="F30" s="48" t="s">
        <v>94</v>
      </c>
      <c r="G30" s="10">
        <v>1</v>
      </c>
      <c r="H30" s="10"/>
      <c r="I30" s="10"/>
      <c r="J30" s="47"/>
    </row>
    <row r="31" spans="1:10">
      <c r="A31" s="14" t="s">
        <v>450</v>
      </c>
      <c r="B31" s="14" t="s">
        <v>87</v>
      </c>
      <c r="C31" s="45" t="s">
        <v>245</v>
      </c>
      <c r="D31" s="14" t="s">
        <v>66</v>
      </c>
      <c r="E31" s="7" t="s">
        <v>29</v>
      </c>
      <c r="F31" s="48" t="s">
        <v>94</v>
      </c>
      <c r="G31" s="10">
        <v>0.5</v>
      </c>
      <c r="H31" s="10">
        <v>0</v>
      </c>
      <c r="I31" s="10"/>
      <c r="J31" s="45" t="s">
        <v>461</v>
      </c>
    </row>
    <row r="32" spans="1:10">
      <c r="A32" s="14" t="s">
        <v>462</v>
      </c>
      <c r="B32" s="14" t="s">
        <v>87</v>
      </c>
      <c r="C32" s="45" t="s">
        <v>247</v>
      </c>
      <c r="D32" s="14" t="s">
        <v>66</v>
      </c>
      <c r="E32" s="7" t="s">
        <v>29</v>
      </c>
      <c r="F32" s="48" t="s">
        <v>101</v>
      </c>
      <c r="G32" s="10">
        <v>0.5</v>
      </c>
      <c r="H32" s="10">
        <v>0</v>
      </c>
      <c r="I32" s="10"/>
      <c r="J32" s="45"/>
    </row>
    <row r="33" spans="1:10">
      <c r="A33" s="14" t="s">
        <v>463</v>
      </c>
      <c r="B33" s="14" t="s">
        <v>92</v>
      </c>
      <c r="C33" s="10" t="s">
        <v>256</v>
      </c>
      <c r="D33" s="10" t="s">
        <v>66</v>
      </c>
      <c r="E33" s="7" t="s">
        <v>29</v>
      </c>
      <c r="F33" s="49" t="s">
        <v>67</v>
      </c>
      <c r="G33" s="10">
        <v>1</v>
      </c>
      <c r="H33" s="10">
        <v>0</v>
      </c>
      <c r="I33" s="10"/>
      <c r="J33" s="14" t="s">
        <v>468</v>
      </c>
    </row>
    <row r="34" spans="1:10">
      <c r="A34" s="14" t="s">
        <v>464</v>
      </c>
      <c r="B34" s="10" t="s">
        <v>92</v>
      </c>
      <c r="C34" s="14" t="s">
        <v>469</v>
      </c>
      <c r="D34" s="10" t="s">
        <v>66</v>
      </c>
      <c r="E34" s="7" t="s">
        <v>29</v>
      </c>
      <c r="F34" s="48" t="s">
        <v>94</v>
      </c>
      <c r="G34" s="10">
        <v>1</v>
      </c>
      <c r="H34" s="10">
        <v>0</v>
      </c>
      <c r="I34" s="10"/>
      <c r="J34" s="14" t="s">
        <v>470</v>
      </c>
    </row>
    <row r="35" spans="1:10">
      <c r="A35" s="14" t="s">
        <v>465</v>
      </c>
      <c r="B35" s="10" t="s">
        <v>92</v>
      </c>
      <c r="C35" s="45" t="s">
        <v>471</v>
      </c>
      <c r="D35" s="10" t="s">
        <v>66</v>
      </c>
      <c r="E35" s="7" t="s">
        <v>29</v>
      </c>
      <c r="F35" s="48" t="s">
        <v>94</v>
      </c>
      <c r="G35" s="10">
        <v>0.5</v>
      </c>
      <c r="H35" s="10">
        <v>0</v>
      </c>
      <c r="I35" s="10"/>
      <c r="J35" s="14" t="s">
        <v>472</v>
      </c>
    </row>
    <row r="36" spans="1:10">
      <c r="A36" s="14" t="s">
        <v>466</v>
      </c>
      <c r="B36" s="10" t="s">
        <v>92</v>
      </c>
      <c r="C36" s="45" t="s">
        <v>473</v>
      </c>
      <c r="D36" s="10" t="s">
        <v>66</v>
      </c>
      <c r="E36" s="7" t="s">
        <v>29</v>
      </c>
      <c r="F36" s="48" t="s">
        <v>101</v>
      </c>
      <c r="G36" s="10">
        <v>1</v>
      </c>
      <c r="H36" s="10">
        <v>0</v>
      </c>
      <c r="I36" s="10"/>
      <c r="J36" s="45" t="s">
        <v>474</v>
      </c>
    </row>
    <row r="37" spans="1:10">
      <c r="A37" s="14" t="s">
        <v>467</v>
      </c>
      <c r="B37" s="14" t="s">
        <v>92</v>
      </c>
      <c r="C37" t="s">
        <v>475</v>
      </c>
      <c r="D37" s="14" t="s">
        <v>66</v>
      </c>
      <c r="E37" s="7" t="s">
        <v>29</v>
      </c>
      <c r="F37" s="11" t="s">
        <v>67</v>
      </c>
      <c r="G37" s="10">
        <v>1.5</v>
      </c>
      <c r="H37" s="10">
        <v>0</v>
      </c>
      <c r="I37" s="10"/>
      <c r="J37" s="45" t="s">
        <v>476</v>
      </c>
    </row>
    <row r="38" spans="1:10">
      <c r="A38" s="14" t="s">
        <v>477</v>
      </c>
      <c r="B38" s="10" t="s">
        <v>92</v>
      </c>
      <c r="C38" s="10" t="s">
        <v>261</v>
      </c>
      <c r="D38" s="10" t="s">
        <v>66</v>
      </c>
      <c r="E38" s="7" t="s">
        <v>29</v>
      </c>
      <c r="F38" s="4" t="s">
        <v>101</v>
      </c>
      <c r="G38" s="10">
        <v>0.5</v>
      </c>
      <c r="H38" s="10">
        <v>0</v>
      </c>
      <c r="I38" s="10"/>
      <c r="J38" s="10"/>
    </row>
  </sheetData>
  <mergeCells count="1">
    <mergeCell ref="A1:J1"/>
  </mergeCells>
  <conditionalFormatting sqref="E5:E115">
    <cfRule type="cellIs" dxfId="7" priority="1" operator="equal">
      <formula>"Complete"</formula>
    </cfRule>
    <cfRule type="cellIs" dxfId="6" priority="2" operator="equal">
      <formula>"In Progress"</formula>
    </cfRule>
    <cfRule type="cellIs" dxfId="5" priority="3" operator="equal">
      <formula>"Blocked"</formula>
    </cfRule>
    <cfRule type="cellIs" dxfId="4" priority="4" operator="equal">
      <formula>"Not Started"</formula>
    </cfRule>
  </conditionalFormatting>
  <dataValidations count="2">
    <dataValidation type="list" errorTitle="Invalid Entry" error="Invalid status" sqref="E5:E12 E13 E14:E15 E16 E17 E18 E19 E20 E21 E22 E23 E24 E25 E26:E32 E33 E34 E35 E36:E37 E38 E39" xr:uid="{00000000-0002-0000-0500-000000000000}">
      <formula1>"Not Started,In Progress,Complete,Blocked"</formula1>
    </dataValidation>
    <dataValidation type="list" errorTitle="Invalid Entry" error="Invalid priority" sqref="F5:F12 F13 F14:F15 F16 F17 F18 F19 F20 F21 F22 F23 F24 F25 F26:F32 F33 F34 F35 F36:F37 F38 F39" xr:uid="{00000000-0002-0000-0500-000001000000}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workbookViewId="0">
      <pane ySplit="4" topLeftCell="A5" activePane="bottomLeft" state="frozen"/>
      <selection pane="bottomLeft" sqref="A1:J1"/>
    </sheetView>
  </sheetViews>
  <sheetFormatPr defaultRowHeight="14.4"/>
  <cols>
    <col min="1" max="1" width="10" customWidth="1"/>
    <col min="2" max="2" width="8" customWidth="1"/>
    <col min="3" max="3" width="45" customWidth="1"/>
    <col min="4" max="4" width="10" customWidth="1"/>
    <col min="5" max="5" width="12" customWidth="1"/>
    <col min="6" max="7" width="10" customWidth="1"/>
    <col min="8" max="8" width="12" customWidth="1"/>
    <col min="9" max="9" width="25" customWidth="1"/>
    <col min="10" max="10" width="35" customWidth="1"/>
  </cols>
  <sheetData>
    <row r="1" spans="1:10" ht="25.05" customHeight="1">
      <c r="A1" s="42" t="s">
        <v>262</v>
      </c>
      <c r="B1" s="40"/>
      <c r="C1" s="40"/>
      <c r="D1" s="40"/>
      <c r="E1" s="40"/>
      <c r="F1" s="40"/>
      <c r="G1" s="40"/>
      <c r="H1" s="40"/>
      <c r="I1" s="40"/>
      <c r="J1" s="40"/>
    </row>
    <row r="2" spans="1:10">
      <c r="A2" t="s">
        <v>54</v>
      </c>
      <c r="B2" s="12" t="s">
        <v>29</v>
      </c>
    </row>
    <row r="4" spans="1:10">
      <c r="A4" s="3" t="s">
        <v>55</v>
      </c>
      <c r="B4" s="3" t="s">
        <v>56</v>
      </c>
      <c r="C4" s="3" t="s">
        <v>57</v>
      </c>
      <c r="D4" s="3" t="s">
        <v>58</v>
      </c>
      <c r="E4" s="3" t="s">
        <v>13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18</v>
      </c>
    </row>
    <row r="5" spans="1:10">
      <c r="A5" s="10" t="s">
        <v>263</v>
      </c>
      <c r="B5" s="10" t="s">
        <v>64</v>
      </c>
      <c r="C5" s="10" t="s">
        <v>264</v>
      </c>
      <c r="D5" s="10" t="s">
        <v>66</v>
      </c>
      <c r="E5" s="7" t="s">
        <v>29</v>
      </c>
      <c r="F5" s="11" t="s">
        <v>67</v>
      </c>
      <c r="G5" s="10">
        <v>2</v>
      </c>
      <c r="H5" s="10">
        <v>0</v>
      </c>
      <c r="I5" s="10"/>
      <c r="J5" s="10"/>
    </row>
    <row r="6" spans="1:10">
      <c r="A6" s="10" t="s">
        <v>265</v>
      </c>
      <c r="B6" s="10" t="s">
        <v>64</v>
      </c>
      <c r="C6" s="10" t="s">
        <v>266</v>
      </c>
      <c r="D6" s="10" t="s">
        <v>66</v>
      </c>
      <c r="E6" s="7" t="s">
        <v>29</v>
      </c>
      <c r="F6" s="11" t="s">
        <v>67</v>
      </c>
      <c r="G6" s="10">
        <v>1.5</v>
      </c>
      <c r="H6" s="10">
        <v>0</v>
      </c>
      <c r="I6" s="10"/>
      <c r="J6" s="10"/>
    </row>
    <row r="7" spans="1:10">
      <c r="A7" s="10" t="s">
        <v>267</v>
      </c>
      <c r="B7" s="10" t="s">
        <v>64</v>
      </c>
      <c r="C7" s="10" t="s">
        <v>268</v>
      </c>
      <c r="D7" s="10" t="s">
        <v>66</v>
      </c>
      <c r="E7" s="7" t="s">
        <v>29</v>
      </c>
      <c r="F7" s="11" t="s">
        <v>67</v>
      </c>
      <c r="G7" s="10">
        <v>0.5</v>
      </c>
      <c r="H7" s="10">
        <v>0</v>
      </c>
      <c r="I7" s="10"/>
      <c r="J7" s="10"/>
    </row>
    <row r="8" spans="1:10">
      <c r="A8" s="10" t="s">
        <v>269</v>
      </c>
      <c r="B8" s="10" t="s">
        <v>64</v>
      </c>
      <c r="C8" s="10" t="s">
        <v>270</v>
      </c>
      <c r="D8" s="10" t="s">
        <v>66</v>
      </c>
      <c r="E8" s="7" t="s">
        <v>29</v>
      </c>
      <c r="F8" s="11" t="s">
        <v>67</v>
      </c>
      <c r="G8" s="10">
        <v>1</v>
      </c>
      <c r="H8" s="10">
        <v>0</v>
      </c>
      <c r="I8" s="10"/>
      <c r="J8" s="10"/>
    </row>
    <row r="9" spans="1:10">
      <c r="A9" s="10" t="s">
        <v>271</v>
      </c>
      <c r="B9" s="10" t="s">
        <v>75</v>
      </c>
      <c r="C9" s="10" t="s">
        <v>272</v>
      </c>
      <c r="D9" s="10" t="s">
        <v>66</v>
      </c>
      <c r="E9" s="7" t="s">
        <v>29</v>
      </c>
      <c r="F9" s="11" t="s">
        <v>67</v>
      </c>
      <c r="G9" s="10">
        <v>2</v>
      </c>
      <c r="H9" s="10">
        <v>0</v>
      </c>
      <c r="I9" s="10"/>
      <c r="J9" s="10"/>
    </row>
    <row r="10" spans="1:10">
      <c r="A10" s="10" t="s">
        <v>273</v>
      </c>
      <c r="B10" s="10" t="s">
        <v>75</v>
      </c>
      <c r="C10" s="10" t="s">
        <v>274</v>
      </c>
      <c r="D10" s="10" t="s">
        <v>66</v>
      </c>
      <c r="E10" s="7" t="s">
        <v>29</v>
      </c>
      <c r="F10" s="11" t="s">
        <v>67</v>
      </c>
      <c r="G10" s="10">
        <v>2</v>
      </c>
      <c r="H10" s="10">
        <v>0</v>
      </c>
      <c r="I10" s="10"/>
      <c r="J10" s="10"/>
    </row>
    <row r="11" spans="1:10">
      <c r="A11" s="10" t="s">
        <v>275</v>
      </c>
      <c r="B11" s="10" t="s">
        <v>75</v>
      </c>
      <c r="C11" s="10" t="s">
        <v>276</v>
      </c>
      <c r="D11" s="10" t="s">
        <v>66</v>
      </c>
      <c r="E11" s="7" t="s">
        <v>29</v>
      </c>
      <c r="F11" s="11" t="s">
        <v>67</v>
      </c>
      <c r="G11" s="10">
        <v>1.5</v>
      </c>
      <c r="H11" s="10">
        <v>0</v>
      </c>
      <c r="I11" s="10"/>
      <c r="J11" s="10"/>
    </row>
    <row r="12" spans="1:10">
      <c r="A12" s="10" t="s">
        <v>277</v>
      </c>
      <c r="B12" s="10" t="s">
        <v>83</v>
      </c>
      <c r="C12" s="10" t="s">
        <v>278</v>
      </c>
      <c r="D12" s="10" t="s">
        <v>66</v>
      </c>
      <c r="E12" s="7" t="s">
        <v>29</v>
      </c>
      <c r="F12" s="11" t="s">
        <v>67</v>
      </c>
      <c r="G12" s="10">
        <v>1</v>
      </c>
      <c r="H12" s="10">
        <v>0</v>
      </c>
      <c r="I12" s="10"/>
      <c r="J12" s="10"/>
    </row>
    <row r="13" spans="1:10">
      <c r="A13" s="10" t="s">
        <v>279</v>
      </c>
      <c r="B13" s="10" t="s">
        <v>83</v>
      </c>
      <c r="C13" s="10" t="s">
        <v>280</v>
      </c>
      <c r="D13" s="10" t="s">
        <v>66</v>
      </c>
      <c r="E13" s="7" t="s">
        <v>29</v>
      </c>
      <c r="F13" s="11" t="s">
        <v>67</v>
      </c>
      <c r="G13" s="10">
        <v>2</v>
      </c>
      <c r="H13" s="10">
        <v>0</v>
      </c>
      <c r="I13" s="10"/>
      <c r="J13" s="10"/>
    </row>
    <row r="14" spans="1:10">
      <c r="A14" s="10" t="s">
        <v>281</v>
      </c>
      <c r="B14" s="10" t="s">
        <v>83</v>
      </c>
      <c r="C14" s="10" t="s">
        <v>282</v>
      </c>
      <c r="D14" s="10" t="s">
        <v>66</v>
      </c>
      <c r="E14" s="7" t="s">
        <v>29</v>
      </c>
      <c r="F14" s="4" t="s">
        <v>94</v>
      </c>
      <c r="G14" s="10">
        <v>1</v>
      </c>
      <c r="H14" s="10">
        <v>0</v>
      </c>
      <c r="I14" s="10"/>
      <c r="J14" s="10"/>
    </row>
    <row r="15" spans="1:10">
      <c r="A15" s="10" t="s">
        <v>283</v>
      </c>
      <c r="B15" s="10" t="s">
        <v>83</v>
      </c>
      <c r="C15" s="10" t="s">
        <v>284</v>
      </c>
      <c r="D15" s="10" t="s">
        <v>66</v>
      </c>
      <c r="E15" s="7" t="s">
        <v>29</v>
      </c>
      <c r="F15" s="4" t="s">
        <v>101</v>
      </c>
      <c r="G15" s="10">
        <v>0.5</v>
      </c>
      <c r="H15" s="10">
        <v>0</v>
      </c>
      <c r="I15" s="10"/>
      <c r="J15" s="10"/>
    </row>
    <row r="16" spans="1:10">
      <c r="A16" s="10" t="s">
        <v>285</v>
      </c>
      <c r="B16" s="10" t="s">
        <v>87</v>
      </c>
      <c r="C16" s="10" t="s">
        <v>286</v>
      </c>
      <c r="D16" s="10" t="s">
        <v>66</v>
      </c>
      <c r="E16" s="7" t="s">
        <v>29</v>
      </c>
      <c r="F16" s="4" t="s">
        <v>94</v>
      </c>
      <c r="G16" s="10">
        <v>1.5</v>
      </c>
      <c r="H16" s="10">
        <v>0</v>
      </c>
      <c r="I16" s="10"/>
      <c r="J16" s="10"/>
    </row>
    <row r="17" spans="1:10">
      <c r="A17" s="10" t="s">
        <v>287</v>
      </c>
      <c r="B17" s="10" t="s">
        <v>87</v>
      </c>
      <c r="C17" s="10" t="s">
        <v>288</v>
      </c>
      <c r="D17" s="10" t="s">
        <v>66</v>
      </c>
      <c r="E17" s="7" t="s">
        <v>29</v>
      </c>
      <c r="F17" s="4" t="s">
        <v>94</v>
      </c>
      <c r="G17" s="10">
        <v>1.5</v>
      </c>
      <c r="H17" s="10">
        <v>0</v>
      </c>
      <c r="I17" s="10"/>
      <c r="J17" s="10"/>
    </row>
    <row r="18" spans="1:10">
      <c r="A18" s="10" t="s">
        <v>289</v>
      </c>
      <c r="B18" s="10" t="s">
        <v>87</v>
      </c>
      <c r="C18" s="10" t="s">
        <v>290</v>
      </c>
      <c r="D18" s="10" t="s">
        <v>66</v>
      </c>
      <c r="E18" s="7" t="s">
        <v>29</v>
      </c>
      <c r="F18" s="4" t="s">
        <v>94</v>
      </c>
      <c r="G18" s="10">
        <v>1</v>
      </c>
      <c r="H18" s="10">
        <v>0</v>
      </c>
      <c r="I18" s="10"/>
      <c r="J18" s="10"/>
    </row>
    <row r="19" spans="1:10">
      <c r="A19" s="10" t="s">
        <v>291</v>
      </c>
      <c r="B19" s="10" t="s">
        <v>87</v>
      </c>
      <c r="C19" s="10" t="s">
        <v>292</v>
      </c>
      <c r="D19" s="10" t="s">
        <v>66</v>
      </c>
      <c r="E19" s="7" t="s">
        <v>29</v>
      </c>
      <c r="F19" s="4" t="s">
        <v>101</v>
      </c>
      <c r="G19" s="10">
        <v>1</v>
      </c>
      <c r="H19" s="10">
        <v>0</v>
      </c>
      <c r="I19" s="10"/>
      <c r="J19" s="10"/>
    </row>
    <row r="20" spans="1:10">
      <c r="A20" s="10" t="s">
        <v>293</v>
      </c>
      <c r="B20" s="10" t="s">
        <v>92</v>
      </c>
      <c r="C20" s="10" t="s">
        <v>294</v>
      </c>
      <c r="D20" s="10" t="s">
        <v>66</v>
      </c>
      <c r="E20" s="7" t="s">
        <v>29</v>
      </c>
      <c r="F20" s="11" t="s">
        <v>67</v>
      </c>
      <c r="G20" s="10">
        <v>2</v>
      </c>
      <c r="H20" s="10">
        <v>0</v>
      </c>
      <c r="I20" s="10"/>
      <c r="J20" s="10"/>
    </row>
    <row r="21" spans="1:10">
      <c r="A21" s="10" t="s">
        <v>295</v>
      </c>
      <c r="B21" s="10" t="s">
        <v>92</v>
      </c>
      <c r="C21" s="10" t="s">
        <v>296</v>
      </c>
      <c r="D21" s="10" t="s">
        <v>66</v>
      </c>
      <c r="E21" s="7" t="s">
        <v>29</v>
      </c>
      <c r="F21" s="11" t="s">
        <v>67</v>
      </c>
      <c r="G21" s="10">
        <v>1.5</v>
      </c>
      <c r="H21" s="10">
        <v>0</v>
      </c>
      <c r="I21" s="10"/>
      <c r="J21" s="10"/>
    </row>
    <row r="22" spans="1:10">
      <c r="A22" s="10" t="s">
        <v>297</v>
      </c>
      <c r="B22" s="10" t="s">
        <v>92</v>
      </c>
      <c r="C22" s="10" t="s">
        <v>298</v>
      </c>
      <c r="D22" s="10" t="s">
        <v>66</v>
      </c>
      <c r="E22" s="7" t="s">
        <v>29</v>
      </c>
      <c r="F22" s="11" t="s">
        <v>67</v>
      </c>
      <c r="G22" s="10">
        <v>1</v>
      </c>
      <c r="H22" s="10">
        <v>0</v>
      </c>
      <c r="I22" s="10"/>
      <c r="J22" s="10"/>
    </row>
    <row r="23" spans="1:10">
      <c r="A23" s="10" t="s">
        <v>299</v>
      </c>
      <c r="B23" s="10" t="s">
        <v>92</v>
      </c>
      <c r="C23" s="10" t="s">
        <v>300</v>
      </c>
      <c r="D23" s="10" t="s">
        <v>66</v>
      </c>
      <c r="E23" s="7" t="s">
        <v>29</v>
      </c>
      <c r="F23" s="11" t="s">
        <v>67</v>
      </c>
      <c r="G23" s="10">
        <v>0.5</v>
      </c>
      <c r="H23" s="10">
        <v>0</v>
      </c>
      <c r="I23" s="10"/>
      <c r="J23" s="10"/>
    </row>
    <row r="24" spans="1:10">
      <c r="A24" s="10" t="s">
        <v>301</v>
      </c>
      <c r="B24" s="10" t="s">
        <v>92</v>
      </c>
      <c r="C24" s="10" t="s">
        <v>302</v>
      </c>
      <c r="D24" s="10" t="s">
        <v>66</v>
      </c>
      <c r="E24" s="7" t="s">
        <v>29</v>
      </c>
      <c r="F24" s="11" t="s">
        <v>67</v>
      </c>
      <c r="G24" s="10">
        <v>1</v>
      </c>
      <c r="H24" s="10">
        <v>0</v>
      </c>
      <c r="I24" s="10"/>
      <c r="J24" s="10"/>
    </row>
  </sheetData>
  <mergeCells count="1">
    <mergeCell ref="A1:J1"/>
  </mergeCells>
  <conditionalFormatting sqref="E5:E100">
    <cfRule type="cellIs" dxfId="3" priority="1" operator="equal">
      <formula>"Complete"</formula>
    </cfRule>
    <cfRule type="cellIs" dxfId="2" priority="2" operator="equal">
      <formula>"In Progress"</formula>
    </cfRule>
    <cfRule type="cellIs" dxfId="1" priority="3" operator="equal">
      <formula>"Blocked"</formula>
    </cfRule>
    <cfRule type="cellIs" dxfId="0" priority="4" operator="equal">
      <formula>"Not Started"</formula>
    </cfRule>
  </conditionalFormatting>
  <dataValidations count="2">
    <dataValidation type="list" errorTitle="Invalid Entry" error="Invalid status" sqref="E5 E6 E7 E8 E9 E10 E11 E12 E13 E14 E15 E16 E17 E18 E19 E20 E21 E22 E23 E24 E25" xr:uid="{00000000-0002-0000-0600-000000000000}">
      <formula1>"Not Started,In Progress,Complete,Blocked"</formula1>
    </dataValidation>
    <dataValidation type="list" errorTitle="Invalid Entry" error="Invalid priority" sqref="F5 F6 F7 F8 F9 F10 F11 F12 F13 F14 F15 F16 F17 F18 F19 F20 F21 F22 F23 F24 F25" xr:uid="{00000000-0002-0000-0600-000001000000}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workbookViewId="0">
      <selection activeCell="J14" sqref="J14"/>
    </sheetView>
  </sheetViews>
  <sheetFormatPr defaultRowHeight="14.4"/>
  <cols>
    <col min="1" max="1" width="8" customWidth="1"/>
    <col min="2" max="2" width="12" customWidth="1"/>
    <col min="3" max="3" width="10" customWidth="1"/>
    <col min="4" max="4" width="40" customWidth="1"/>
    <col min="5" max="5" width="10" customWidth="1"/>
    <col min="6" max="6" width="12" customWidth="1"/>
    <col min="7" max="7" width="10" customWidth="1"/>
    <col min="8" max="8" width="63.6640625" customWidth="1"/>
    <col min="9" max="9" width="15" customWidth="1"/>
  </cols>
  <sheetData>
    <row r="1" spans="1:9" ht="25.05" customHeight="1">
      <c r="A1" s="43" t="s">
        <v>303</v>
      </c>
      <c r="B1" s="40"/>
      <c r="C1" s="40"/>
      <c r="D1" s="40"/>
      <c r="E1" s="40"/>
      <c r="F1" s="40"/>
      <c r="G1" s="40"/>
      <c r="H1" s="40"/>
      <c r="I1" s="40"/>
    </row>
    <row r="3" spans="1:9">
      <c r="A3" s="3" t="s">
        <v>304</v>
      </c>
      <c r="B3" s="3" t="s">
        <v>11</v>
      </c>
      <c r="C3" s="3" t="s">
        <v>55</v>
      </c>
      <c r="D3" s="3" t="s">
        <v>12</v>
      </c>
      <c r="E3" s="3" t="s">
        <v>305</v>
      </c>
      <c r="F3" s="3" t="s">
        <v>13</v>
      </c>
      <c r="G3" s="3" t="s">
        <v>58</v>
      </c>
      <c r="H3" s="3" t="s">
        <v>306</v>
      </c>
      <c r="I3" s="3" t="s">
        <v>307</v>
      </c>
    </row>
    <row r="4" spans="1:9" ht="79.95" customHeight="1">
      <c r="A4" s="17" t="s">
        <v>308</v>
      </c>
      <c r="B4" s="17" t="s">
        <v>309</v>
      </c>
      <c r="C4" s="17" t="s">
        <v>109</v>
      </c>
      <c r="D4" s="17" t="s">
        <v>310</v>
      </c>
      <c r="E4" s="50" t="s">
        <v>67</v>
      </c>
      <c r="F4" s="17" t="s">
        <v>314</v>
      </c>
      <c r="G4" s="17" t="s">
        <v>66</v>
      </c>
      <c r="H4" s="17" t="s">
        <v>311</v>
      </c>
      <c r="I4" s="18">
        <v>45974</v>
      </c>
    </row>
    <row r="5" spans="1:9" s="33" customFormat="1" ht="69">
      <c r="A5" s="19" t="s">
        <v>312</v>
      </c>
      <c r="B5" s="19" t="s">
        <v>309</v>
      </c>
      <c r="C5" s="19" t="s">
        <v>113</v>
      </c>
      <c r="D5" s="19" t="s">
        <v>313</v>
      </c>
      <c r="E5" s="22" t="s">
        <v>67</v>
      </c>
      <c r="F5" s="19" t="s">
        <v>314</v>
      </c>
      <c r="G5" s="19" t="s">
        <v>66</v>
      </c>
      <c r="H5" s="20" t="s">
        <v>315</v>
      </c>
      <c r="I5" s="21">
        <v>45975</v>
      </c>
    </row>
    <row r="6" spans="1:9" ht="41.4">
      <c r="A6" s="34" t="s">
        <v>409</v>
      </c>
      <c r="B6" s="34" t="s">
        <v>400</v>
      </c>
      <c r="C6" s="34" t="s">
        <v>217</v>
      </c>
      <c r="D6" s="34" t="s">
        <v>408</v>
      </c>
      <c r="E6" s="37" t="s">
        <v>94</v>
      </c>
      <c r="F6" s="34" t="s">
        <v>314</v>
      </c>
      <c r="G6" s="34" t="s">
        <v>66</v>
      </c>
      <c r="H6" s="36" t="s">
        <v>410</v>
      </c>
      <c r="I6" s="35">
        <v>46017</v>
      </c>
    </row>
    <row r="7" spans="1:9">
      <c r="A7" s="45" t="s">
        <v>479</v>
      </c>
      <c r="B7" s="45" t="s">
        <v>478</v>
      </c>
      <c r="C7" s="45" t="s">
        <v>229</v>
      </c>
      <c r="D7" s="51" t="s">
        <v>486</v>
      </c>
      <c r="E7" s="52" t="s">
        <v>67</v>
      </c>
      <c r="F7" s="45" t="s">
        <v>389</v>
      </c>
      <c r="G7" s="45" t="s">
        <v>66</v>
      </c>
      <c r="H7" s="45" t="s">
        <v>419</v>
      </c>
      <c r="I7" s="45"/>
    </row>
    <row r="8" spans="1:9">
      <c r="A8" s="45" t="s">
        <v>480</v>
      </c>
      <c r="B8" s="45" t="s">
        <v>478</v>
      </c>
      <c r="C8" s="45" t="s">
        <v>231</v>
      </c>
      <c r="D8" s="51" t="s">
        <v>487</v>
      </c>
      <c r="E8" s="52" t="s">
        <v>67</v>
      </c>
      <c r="F8" s="45" t="s">
        <v>29</v>
      </c>
      <c r="G8" s="45" t="s">
        <v>66</v>
      </c>
      <c r="H8" s="45" t="s">
        <v>421</v>
      </c>
      <c r="I8" s="45"/>
    </row>
    <row r="9" spans="1:9">
      <c r="A9" s="45" t="s">
        <v>481</v>
      </c>
      <c r="B9" s="45" t="s">
        <v>478</v>
      </c>
      <c r="C9" s="45" t="s">
        <v>233</v>
      </c>
      <c r="D9" s="51" t="s">
        <v>488</v>
      </c>
      <c r="E9" s="52" t="s">
        <v>67</v>
      </c>
      <c r="F9" s="45" t="s">
        <v>29</v>
      </c>
      <c r="G9" s="45" t="s">
        <v>66</v>
      </c>
      <c r="H9" s="45" t="s">
        <v>423</v>
      </c>
      <c r="I9" s="45"/>
    </row>
    <row r="10" spans="1:9">
      <c r="A10" s="45" t="s">
        <v>482</v>
      </c>
      <c r="B10" s="45" t="s">
        <v>478</v>
      </c>
      <c r="C10" s="45" t="s">
        <v>235</v>
      </c>
      <c r="D10" s="51" t="s">
        <v>489</v>
      </c>
      <c r="E10" s="52" t="s">
        <v>67</v>
      </c>
      <c r="F10" s="45" t="s">
        <v>29</v>
      </c>
      <c r="G10" s="45" t="s">
        <v>66</v>
      </c>
      <c r="H10" s="45" t="s">
        <v>425</v>
      </c>
      <c r="I10" s="45"/>
    </row>
    <row r="11" spans="1:9">
      <c r="A11" s="45" t="s">
        <v>483</v>
      </c>
      <c r="B11" s="45" t="s">
        <v>478</v>
      </c>
      <c r="C11" s="45" t="s">
        <v>237</v>
      </c>
      <c r="D11" s="51" t="s">
        <v>489</v>
      </c>
      <c r="E11" s="52" t="s">
        <v>67</v>
      </c>
      <c r="F11" s="45" t="s">
        <v>29</v>
      </c>
      <c r="G11" s="45" t="s">
        <v>66</v>
      </c>
      <c r="H11" s="45" t="s">
        <v>425</v>
      </c>
      <c r="I11" s="45"/>
    </row>
    <row r="12" spans="1:9">
      <c r="A12" s="45" t="s">
        <v>484</v>
      </c>
      <c r="B12" s="45" t="s">
        <v>478</v>
      </c>
      <c r="C12" s="45" t="s">
        <v>239</v>
      </c>
      <c r="D12" s="51" t="s">
        <v>489</v>
      </c>
      <c r="E12" s="52" t="s">
        <v>67</v>
      </c>
      <c r="F12" s="45" t="s">
        <v>29</v>
      </c>
      <c r="G12" s="45" t="s">
        <v>66</v>
      </c>
      <c r="H12" s="45" t="s">
        <v>425</v>
      </c>
      <c r="I12" s="45"/>
    </row>
    <row r="13" spans="1:9">
      <c r="A13" s="45" t="s">
        <v>485</v>
      </c>
      <c r="B13" s="45" t="s">
        <v>478</v>
      </c>
      <c r="C13" s="45" t="s">
        <v>240</v>
      </c>
      <c r="D13" s="51" t="s">
        <v>489</v>
      </c>
      <c r="E13" s="52" t="s">
        <v>67</v>
      </c>
      <c r="F13" s="45" t="s">
        <v>29</v>
      </c>
      <c r="G13" s="45" t="s">
        <v>66</v>
      </c>
      <c r="H13" s="45" t="s">
        <v>425</v>
      </c>
      <c r="I13" s="45"/>
    </row>
  </sheetData>
  <mergeCells count="1">
    <mergeCell ref="A1:I1"/>
  </mergeCells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tabSelected="1" workbookViewId="0">
      <selection activeCell="C21" sqref="C21"/>
    </sheetView>
  </sheetViews>
  <sheetFormatPr defaultRowHeight="14.4"/>
  <cols>
    <col min="1" max="1" width="15" style="54" customWidth="1"/>
    <col min="2" max="2" width="12" customWidth="1"/>
    <col min="3" max="3" width="15" customWidth="1"/>
    <col min="4" max="4" width="18" customWidth="1"/>
    <col min="5" max="5" width="141.109375" customWidth="1"/>
    <col min="6" max="6" width="10" customWidth="1"/>
  </cols>
  <sheetData>
    <row r="1" spans="1:6" ht="25.05" customHeight="1">
      <c r="A1" s="42" t="s">
        <v>316</v>
      </c>
      <c r="B1" s="40"/>
      <c r="C1" s="40"/>
      <c r="D1" s="40"/>
      <c r="E1" s="40"/>
      <c r="F1" s="40"/>
    </row>
    <row r="3" spans="1:6">
      <c r="A3" s="53" t="s">
        <v>317</v>
      </c>
      <c r="B3" s="3" t="s">
        <v>318</v>
      </c>
      <c r="C3" s="3" t="s">
        <v>319</v>
      </c>
      <c r="D3" s="3" t="s">
        <v>320</v>
      </c>
      <c r="E3" s="3" t="s">
        <v>12</v>
      </c>
      <c r="F3" s="3" t="s">
        <v>305</v>
      </c>
    </row>
    <row r="4" spans="1:6">
      <c r="A4" s="23">
        <v>45967</v>
      </c>
      <c r="B4" s="14" t="s">
        <v>66</v>
      </c>
      <c r="C4" s="14" t="s">
        <v>368</v>
      </c>
      <c r="D4" s="14" t="s">
        <v>369</v>
      </c>
      <c r="E4" s="14" t="s">
        <v>370</v>
      </c>
      <c r="F4" s="14" t="s">
        <v>101</v>
      </c>
    </row>
    <row r="5" spans="1:6">
      <c r="A5" s="24">
        <v>45974</v>
      </c>
      <c r="B5" s="10" t="s">
        <v>66</v>
      </c>
      <c r="C5" s="10" t="s">
        <v>309</v>
      </c>
      <c r="D5" s="10" t="s">
        <v>321</v>
      </c>
      <c r="E5" s="10" t="s">
        <v>322</v>
      </c>
      <c r="F5" s="10" t="s">
        <v>67</v>
      </c>
    </row>
    <row r="6" spans="1:6">
      <c r="A6" s="30">
        <v>45975</v>
      </c>
      <c r="B6" s="31" t="s">
        <v>66</v>
      </c>
      <c r="C6" s="31" t="s">
        <v>309</v>
      </c>
      <c r="D6" s="31" t="s">
        <v>321</v>
      </c>
      <c r="E6" s="31" t="s">
        <v>371</v>
      </c>
      <c r="F6" s="31" t="s">
        <v>67</v>
      </c>
    </row>
    <row r="7" spans="1:6">
      <c r="A7" s="32">
        <v>45987</v>
      </c>
      <c r="B7" s="10" t="s">
        <v>66</v>
      </c>
      <c r="C7" s="10" t="s">
        <v>309</v>
      </c>
      <c r="D7" s="10" t="s">
        <v>369</v>
      </c>
      <c r="E7" s="10" t="s">
        <v>392</v>
      </c>
      <c r="F7" s="10" t="s">
        <v>67</v>
      </c>
    </row>
    <row r="8" spans="1:6">
      <c r="A8" s="32">
        <v>45998</v>
      </c>
      <c r="B8" s="10" t="s">
        <v>66</v>
      </c>
      <c r="C8" s="10" t="s">
        <v>391</v>
      </c>
      <c r="D8" s="10" t="s">
        <v>369</v>
      </c>
      <c r="E8" s="10" t="s">
        <v>393</v>
      </c>
      <c r="F8" s="10" t="s">
        <v>94</v>
      </c>
    </row>
    <row r="9" spans="1:6">
      <c r="A9" s="38">
        <v>46006</v>
      </c>
      <c r="B9" s="31" t="s">
        <v>66</v>
      </c>
      <c r="C9" s="31" t="s">
        <v>400</v>
      </c>
      <c r="D9" s="31" t="s">
        <v>401</v>
      </c>
      <c r="E9" s="31" t="s">
        <v>402</v>
      </c>
      <c r="F9" s="31" t="s">
        <v>94</v>
      </c>
    </row>
    <row r="10" spans="1:6">
      <c r="A10" s="32">
        <v>46021</v>
      </c>
      <c r="B10" s="10" t="s">
        <v>66</v>
      </c>
      <c r="C10" s="10" t="s">
        <v>400</v>
      </c>
      <c r="D10" s="10" t="s">
        <v>369</v>
      </c>
      <c r="E10" s="10" t="s">
        <v>415</v>
      </c>
      <c r="F10" s="10" t="s">
        <v>67</v>
      </c>
    </row>
    <row r="11" spans="1:6">
      <c r="A11" s="32">
        <v>46107</v>
      </c>
      <c r="B11" s="55" t="s">
        <v>66</v>
      </c>
      <c r="C11" s="55" t="s">
        <v>478</v>
      </c>
      <c r="D11" s="55" t="s">
        <v>490</v>
      </c>
      <c r="E11" s="51" t="s">
        <v>491</v>
      </c>
      <c r="F11" s="55" t="s">
        <v>67</v>
      </c>
    </row>
    <row r="12" spans="1:6">
      <c r="A12" s="32">
        <v>46107</v>
      </c>
      <c r="B12" s="55" t="s">
        <v>66</v>
      </c>
      <c r="C12" s="55" t="s">
        <v>478</v>
      </c>
      <c r="D12" s="55" t="s">
        <v>492</v>
      </c>
      <c r="E12" s="51" t="s">
        <v>493</v>
      </c>
      <c r="F12" s="55" t="s">
        <v>67</v>
      </c>
    </row>
    <row r="13" spans="1:6">
      <c r="A13" s="32">
        <v>46107</v>
      </c>
      <c r="B13" s="55" t="s">
        <v>66</v>
      </c>
      <c r="C13" s="55" t="s">
        <v>494</v>
      </c>
      <c r="D13" s="55" t="s">
        <v>495</v>
      </c>
      <c r="E13" s="51" t="s">
        <v>496</v>
      </c>
      <c r="F13" s="55" t="s">
        <v>94</v>
      </c>
    </row>
    <row r="14" spans="1:6">
      <c r="A14" s="32">
        <v>46107</v>
      </c>
      <c r="B14" s="55" t="s">
        <v>66</v>
      </c>
      <c r="C14" s="55" t="s">
        <v>498</v>
      </c>
      <c r="D14" s="55" t="s">
        <v>497</v>
      </c>
      <c r="E14" s="51" t="s">
        <v>499</v>
      </c>
      <c r="F14" s="55" t="s">
        <v>101</v>
      </c>
    </row>
    <row r="15" spans="1:6">
      <c r="A15" s="32">
        <v>46107</v>
      </c>
      <c r="B15" s="55" t="s">
        <v>66</v>
      </c>
      <c r="C15" s="55" t="s">
        <v>498</v>
      </c>
      <c r="D15" s="55" t="s">
        <v>497</v>
      </c>
      <c r="E15" s="51" t="s">
        <v>500</v>
      </c>
      <c r="F15" s="55" t="s">
        <v>101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1"/>
  <sheetViews>
    <sheetView workbookViewId="0">
      <selection sqref="A1:F1"/>
    </sheetView>
  </sheetViews>
  <sheetFormatPr defaultRowHeight="14.4"/>
  <cols>
    <col min="1" max="1" width="25" customWidth="1"/>
    <col min="2" max="2" width="70" customWidth="1"/>
    <col min="3" max="6" width="15" customWidth="1"/>
  </cols>
  <sheetData>
    <row r="1" spans="1:6" ht="25.05" customHeight="1">
      <c r="A1" s="42" t="s">
        <v>323</v>
      </c>
      <c r="B1" s="40"/>
      <c r="C1" s="40"/>
      <c r="D1" s="40"/>
      <c r="E1" s="40"/>
      <c r="F1" s="40"/>
    </row>
    <row r="4" spans="1:6" ht="15.6" customHeight="1">
      <c r="A4" s="39" t="s">
        <v>324</v>
      </c>
      <c r="B4" s="40"/>
      <c r="C4" s="40"/>
      <c r="D4" s="40"/>
      <c r="E4" s="40"/>
      <c r="F4" s="40"/>
    </row>
    <row r="5" spans="1:6">
      <c r="A5" s="1" t="s">
        <v>325</v>
      </c>
      <c r="B5" t="s">
        <v>326</v>
      </c>
    </row>
    <row r="6" spans="1:6">
      <c r="A6" s="1" t="s">
        <v>327</v>
      </c>
      <c r="B6" t="s">
        <v>328</v>
      </c>
    </row>
    <row r="7" spans="1:6">
      <c r="A7" s="1" t="s">
        <v>329</v>
      </c>
      <c r="B7" t="s">
        <v>330</v>
      </c>
    </row>
    <row r="8" spans="1:6">
      <c r="A8" s="1" t="s">
        <v>331</v>
      </c>
      <c r="B8" t="s">
        <v>332</v>
      </c>
    </row>
    <row r="10" spans="1:6" ht="15.6" customHeight="1">
      <c r="A10" s="39" t="s">
        <v>333</v>
      </c>
      <c r="B10" s="40"/>
      <c r="C10" s="40"/>
      <c r="D10" s="40"/>
      <c r="E10" s="40"/>
      <c r="F10" s="40"/>
    </row>
    <row r="11" spans="1:6">
      <c r="A11" s="1" t="s">
        <v>334</v>
      </c>
      <c r="B11" t="s">
        <v>335</v>
      </c>
    </row>
    <row r="12" spans="1:6">
      <c r="A12" s="1" t="s">
        <v>336</v>
      </c>
      <c r="B12" t="s">
        <v>337</v>
      </c>
    </row>
    <row r="13" spans="1:6">
      <c r="A13" s="1" t="s">
        <v>338</v>
      </c>
      <c r="B13" t="s">
        <v>339</v>
      </c>
    </row>
    <row r="14" spans="1:6">
      <c r="A14" s="1" t="s">
        <v>340</v>
      </c>
      <c r="B14" t="s">
        <v>341</v>
      </c>
    </row>
    <row r="16" spans="1:6" ht="15.6" customHeight="1">
      <c r="A16" s="39" t="s">
        <v>342</v>
      </c>
      <c r="B16" s="40"/>
      <c r="C16" s="40"/>
      <c r="D16" s="40"/>
      <c r="E16" s="40"/>
      <c r="F16" s="40"/>
    </row>
    <row r="17" spans="1:6">
      <c r="A17" s="1" t="s">
        <v>343</v>
      </c>
      <c r="B17" t="s">
        <v>344</v>
      </c>
    </row>
    <row r="18" spans="1:6">
      <c r="A18" s="1" t="s">
        <v>345</v>
      </c>
      <c r="B18" t="s">
        <v>346</v>
      </c>
    </row>
    <row r="19" spans="1:6">
      <c r="A19" s="1" t="s">
        <v>347</v>
      </c>
      <c r="B19" t="s">
        <v>348</v>
      </c>
    </row>
    <row r="20" spans="1:6">
      <c r="A20" s="1" t="s">
        <v>349</v>
      </c>
      <c r="B20" t="s">
        <v>350</v>
      </c>
    </row>
    <row r="22" spans="1:6" ht="15.6" customHeight="1">
      <c r="A22" s="39" t="s">
        <v>351</v>
      </c>
      <c r="B22" s="40"/>
      <c r="C22" s="40"/>
      <c r="D22" s="40"/>
      <c r="E22" s="40"/>
      <c r="F22" s="40"/>
    </row>
    <row r="23" spans="1:6">
      <c r="A23" s="1" t="s">
        <v>352</v>
      </c>
      <c r="B23" t="s">
        <v>353</v>
      </c>
    </row>
    <row r="24" spans="1:6">
      <c r="A24" s="1" t="s">
        <v>354</v>
      </c>
      <c r="B24" t="s">
        <v>355</v>
      </c>
    </row>
    <row r="25" spans="1:6">
      <c r="A25" s="1" t="s">
        <v>356</v>
      </c>
      <c r="B25" t="s">
        <v>357</v>
      </c>
    </row>
    <row r="27" spans="1:6" ht="15.6" customHeight="1">
      <c r="A27" s="39" t="s">
        <v>358</v>
      </c>
      <c r="B27" s="40"/>
      <c r="C27" s="40"/>
      <c r="D27" s="40"/>
      <c r="E27" s="40"/>
      <c r="F27" s="40"/>
    </row>
    <row r="28" spans="1:6">
      <c r="A28" s="1" t="s">
        <v>359</v>
      </c>
      <c r="B28" t="s">
        <v>360</v>
      </c>
    </row>
    <row r="29" spans="1:6">
      <c r="A29" s="1" t="s">
        <v>361</v>
      </c>
      <c r="B29" t="s">
        <v>362</v>
      </c>
    </row>
    <row r="30" spans="1:6">
      <c r="A30" s="1" t="s">
        <v>363</v>
      </c>
      <c r="B30" t="s">
        <v>364</v>
      </c>
    </row>
    <row r="31" spans="1:6">
      <c r="A31" s="1" t="s">
        <v>365</v>
      </c>
      <c r="B31" t="s">
        <v>366</v>
      </c>
    </row>
  </sheetData>
  <mergeCells count="6">
    <mergeCell ref="A16:F16"/>
    <mergeCell ref="A10:F10"/>
    <mergeCell ref="A1:F1"/>
    <mergeCell ref="A27:F27"/>
    <mergeCell ref="A22:F2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Project Overview</vt:lpstr>
      <vt:lpstr>Phase 1 - Infrastructure</vt:lpstr>
      <vt:lpstr>Phase 2 - API &amp; Compute</vt:lpstr>
      <vt:lpstr>Phase 3 - Multi-Modal</vt:lpstr>
      <vt:lpstr>Phase 4 - ML Integration</vt:lpstr>
      <vt:lpstr>Phase 5 - Monitoring</vt:lpstr>
      <vt:lpstr>Phase 6 - CICD</vt:lpstr>
      <vt:lpstr>⚠️ Blockers &amp; Risks</vt:lpstr>
      <vt:lpstr>📝 Change Log</vt:lpstr>
      <vt:lpstr>📖 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Anicia Clayton</cp:lastModifiedBy>
  <dcterms:created xsi:type="dcterms:W3CDTF">2025-11-13T21:44:17Z</dcterms:created>
  <dcterms:modified xsi:type="dcterms:W3CDTF">2026-03-27T20:56:40Z</dcterms:modified>
</cp:coreProperties>
</file>