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99" documentId="8_{C9C18196-394D-4E08-AEE3-4532190AC77C}" xr6:coauthVersionLast="47" xr6:coauthVersionMax="47" xr10:uidLastSave="{DA72ED7A-F606-4C9B-90A7-8B817274B6C2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<sst xmlns="http://schemas.openxmlformats.org/spreadsheetml/2006/main" count="926" uniqueCount="389">
  <si>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</si>
  <si>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</si>
  <si>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</si>
  <si>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</si>
  <si>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</si>
  <si>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</si>
  <si>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</si>
  <si>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</si>
  <si>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</si>
  <si>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</si>
  <si>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</si>
  <si>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</si>
  <si>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</si>
  <si>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</si>
  <si>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</si>
  <si>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</si>
  <si>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</si>
  <si>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</si>
  <si>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</si>
  <si>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</si>
  <si>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</si>
  <si>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</si>
  <si>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</si>
  <si>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</si>
  <si>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</si>
  <si>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</si>
  <si>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</si>
  <si>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</si>
  <si>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</si>
  <si>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</si>
  <si>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</si>
  <si>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</si>
  <si>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</si>
  <si>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</si>
  <si>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</si>
  <si>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</si>
  <si>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</si>
  <si>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</si>
  <si>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</si>
  <si>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</si>
  <si>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</si>
  <si>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</si>
  <si>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</si>
  <si>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</si>
  <si>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</si>
  <si>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</si>
  <si>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</si>
  <si>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</si>
  <si>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</si>
  <si>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</si>
  <si>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</si>
  <si>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</si>
  <si>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</si>
  <si>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</si>
  <si>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</si>
  <si>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</si>
  <si>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</si>
  <si>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</si>
  <si>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</si>
  <si>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</si>
  <si>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</si>
  <si>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</si>
  <si>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</si>
  <si>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</si>
  <si>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</si>
  <si>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</si>
  <si>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</si>
  <si>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</si>
  <si>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</si>
  <si>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</si>
  <si>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</si>
  <si>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</si>
  <si>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</si>
  <si>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</si>
  <si>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</si>
  <si>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</si>
  <si>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</si>
  <si>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</si>
  <si>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</si>
  <si>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</si>
  <si>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</si>
  <si>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</si>
  <si>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</si>
  <si>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</si>
  <si>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</si>
  <si>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</si>
  <si>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</si>
  <si>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</si>
  <si>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</si>
  <si>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</si>
  <si>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</si>
  <si>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</si>
  <si>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</si>
  <si>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</si>
  <si>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</si>
  <si>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</si>
  <si>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</si>
  <si>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</si>
  <si>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</si>
  <si>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</si>
  <si>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</si>
  <si>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</si>
  <si>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</si>
  <si>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</si>
  <si>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</si>
  <si>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</si>
  <si>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</si>
  <si>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</si>
  <si>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</si>
  <si>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</si>
  <si>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</si>
  <si>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</si>
  <si>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</si>
  <si>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</si>
  <si>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</si>
  <si>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</si>
  <si>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</si>
  <si>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</si>
  <si>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</si>
  <si>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</si>
  <si>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</si>
  <si>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</si>
  <si>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</si>
  <si>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</si>
  <si>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</si>
  <si>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</si>
  <si>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</si>
  <si>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</si>
  <si>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</si>
  <si>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</si>
  <si>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</si>
  <si>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</si>
  <si>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</si>
  <si>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</si>
  <si>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</si>
  <si>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</si>
  <si>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</si>
  <si>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</si>
  <si>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</si>
  <si>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</si>
  <si>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</si>
  <si>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</si>
  <si>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</si>
  <si>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</si>
  <si>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</si>
  <si>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</si>
  <si>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</si>
  <si>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</si>
  <si>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</si>
  <si>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</si>
  <si>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</si>
  <si>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</si>
  <si>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</si>
  <si>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</si>
  <si>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</si>
  <si>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</si>
  <si>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</si>
  <si>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</si>
  <si>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</si>
  <si>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</si>
  <si>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</si>
  <si>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</si>
  <si>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</si>
  <si>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</si>
  <si>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</si>
  <si>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</si>
  <si>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</si>
  <si>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</si>
  <si>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</si>
  <si>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</si>
  <si>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</si>
  <si>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</si>
  <si>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</si>
  <si>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</si>
  <si>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</si>
  <si>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</si>
  <si>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</si>
  <si>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</si>
  <si>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</si>
  <si>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</si>
  <si>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</si>
  <si>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</si>
  <si>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</si>
  <si>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</si>
  <si>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</si>
  <si>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</si>
  <si>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</si>
  <si>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</si>
  <si>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</si>
  <si>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</si>
  <si>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</si>
  <si>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</si>
  <si>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</si>
  <si>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</si>
  <si>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</si>
  <si>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</si>
  <si>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</si>
  <si>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</si>
  <si>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</si>
  <si>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</si>
  <si>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</si>
  <si>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</si>
  <si>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</si>
  <si>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</si>
  <si>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</si>
  <si>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</si>
  <si>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</si>
  <si>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</si>
  <si>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</si>
  <si>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</si>
  <si>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</si>
  <si>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</si>
  <si>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</si>
  <si>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</si>
  <si>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</si>
  <si>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</si>
  <si>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</si>
  <si>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</si>
  <si>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</si>
  <si>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</si>
  <si>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</si>
  <si>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</si>
  <si>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</si>
  <si>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</si>
  <si>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</si>
  <si>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</si>
  <si>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</si>
  <si>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</si>
  <si>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</si>
  <si>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</si>
  <si>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</si>
  <si>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</si>
  <si>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</si>
  <si>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</si>
  <si>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</si>
  <si>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</si>
  <si>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</si>
  <si>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</si>
  <si>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</si>
  <si>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</si>
  <si>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</si>
  <si>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</si>
  <si>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</si>
  <si>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</si>
  <si>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</si>
  <si>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</si>
  <si>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</si>
  <si>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</si>
  <si>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</si>
  <si>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</si>
  <si>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</si>
  <si>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</si>
  <si>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</si>
  <si>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</si>
  <si>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</si>
  <si>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</si>
  <si>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</si>
  <si>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</si>
  <si>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</si>
  <si>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</si>
  <si>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</si>
  <si>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</si>
  <si>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</si>
  <si>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</si>
  <si>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</si>
  <si>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</si>
  <si>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</si>
  <si>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</si>
  <si>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</si>
  <si>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</si>
  <si>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</si>
  <si>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</si>
  <si>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</si>
  <si>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</si>
  <si>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</si>
  <si>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</si>
  <si>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</si>
  <si>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</si>
  <si>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</si>
  <si>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</si>
  <si>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</si>
  <si>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</si>
  <si>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</si>
  <si>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</si>
  <si>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</si>
  <si>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</si>
  <si>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</si>
  <si>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</si>
  <si>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</si>
  <si>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</si>
  <si>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</si>
  <si>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</si>
  <si>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</si>
  <si>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</si>
  <si>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</si>
  <si>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</si>
  <si>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</si>
  <si>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</si>
  <si>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</si>
  <si>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</si>
  <si>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</si>
  <si>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</si>
  <si>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</si>
  <si>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</si>
  <si>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</si>
  <si>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</si>
  <si>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</si>
  <si>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</si>
  <si>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</si>
  <si>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</si>
  <si>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</si>
  <si>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</si>
  <si>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</si>
  <si>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</si>
  <si>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</si>
  <si>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</si>
  <si>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</si>
  <si>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</si>
  <si>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</si>
  <si>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</si>
  <si>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</si>
  <si>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</si>
  <si>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</si>
  <si>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</si>
  <si>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</si>
  <si>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</si>
  <si>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</si>
  <si>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</si>
  <si>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</si>
  <si>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</si>
  <si>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</si>
  <si>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</si>
  <si>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</si>
  <si>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</si>
  <si>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</si>
  <si>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</si>
  <si>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</si>
  <si>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</si>
  <si>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</si>
  <si>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</si>
  <si>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</si>
  <si>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</si>
  <si>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</si>
  <si>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</si>
  <si>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</si>
  <si>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</si>
  <si>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</si>
  <si>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</si>
  <si>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</si>
  <si>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</si>
  <si>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</si>
  <si>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</si>
  <si>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</si>
  <si>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</si>
  <si>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</si>
  <si>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</si>
  <si>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</si>
  <si>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</si>
  <si>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</si>
  <si>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</si>
  <si>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</si>
  <si>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</si>
  <si>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</si>
  <si>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</si>
  <si>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</si>
  <si>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</si>
  <si>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</si>
  <si>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</si>
  <si>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</si>
  <si>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</si>
  <si>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</si>
  <si>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</si>
  <si>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</si>
  <si>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</si>
  <si>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</si>
  <si>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</si>
  <si>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</si>
  <si>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</si>
  <si>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</si>
  <si>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</si>
  <si>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</si>
  <si>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In progress</t>
  </si>
  <si>
    <t>Phase 3 - Multi-Modal Layer</t>
  </si>
  <si>
    <t>Delayed a week</t>
  </si>
  <si>
    <t>AWS (VPC, EC2, RDS, Lambda, S3, CloudFront, ALB, CloudWatch, Secrets Manager), Terraform, Python, FastAPI, PostgreSQL</t>
  </si>
  <si>
    <t>7 Weeks (90-120 hours total)</t>
  </si>
  <si>
    <t>45 / 120</t>
  </si>
  <si>
    <t>39 (30%)</t>
  </si>
  <si>
    <t>93 (70%)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</si>
</sst>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9" borderId="0" xfId="0" applyFill="1"/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1" workbookViewId="0">
      <selection activeCell="E31" sqref="E31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1" t="s">
        <v>0</v>
      </c>
      <c r="B1" s="30"/>
      <c r="C1" s="30"/>
      <c r="D1" s="30"/>
      <c r="E1" s="30"/>
      <c r="F1" s="30"/>
      <c r="G1" s="30"/>
      <c r="H1" s="30"/>
    </row>
    <row r="3" spans="1:8" x14ac:dyDescent="0.3">
      <c r="A3" s="1" t="s">
        <v>1</v>
      </c>
      <c r="B3" s="30" t="s">
        <v>2</v>
      </c>
      <c r="C3" s="30"/>
      <c r="D3" s="30"/>
      <c r="E3" s="30"/>
      <c r="F3" s="30"/>
      <c r="G3" s="30"/>
      <c r="H3" s="30"/>
    </row>
    <row r="4" spans="1:8" x14ac:dyDescent="0.3">
      <c r="A4" s="1" t="s">
        <v>3</v>
      </c>
      <c r="B4" s="30" t="s">
        <v>380</v>
      </c>
      <c r="C4" s="30"/>
      <c r="D4" s="30"/>
      <c r="E4" s="30"/>
      <c r="F4" s="30"/>
      <c r="G4" s="30"/>
      <c r="H4" s="30"/>
    </row>
    <row r="5" spans="1:8" x14ac:dyDescent="0.3">
      <c r="A5" s="1" t="s">
        <v>4</v>
      </c>
      <c r="B5" s="30" t="s">
        <v>385</v>
      </c>
      <c r="C5" s="30"/>
      <c r="D5" s="30"/>
      <c r="E5" s="30"/>
      <c r="F5" s="30"/>
      <c r="G5" s="30"/>
      <c r="H5" s="30"/>
    </row>
    <row r="6" spans="1:8" x14ac:dyDescent="0.3">
      <c r="A6" s="1" t="s">
        <v>5</v>
      </c>
      <c r="B6" s="30" t="s">
        <v>6</v>
      </c>
      <c r="C6" s="30"/>
      <c r="D6" s="30"/>
      <c r="E6" s="30"/>
      <c r="F6" s="30"/>
      <c r="G6" s="30"/>
      <c r="H6" s="30"/>
    </row>
    <row r="7" spans="1:8" x14ac:dyDescent="0.3">
      <c r="A7" s="1" t="s">
        <v>7</v>
      </c>
      <c r="B7" s="30" t="s">
        <v>382</v>
      </c>
      <c r="C7" s="30"/>
      <c r="D7" s="30"/>
      <c r="E7" s="30"/>
      <c r="F7" s="30"/>
      <c r="G7" s="30"/>
      <c r="H7" s="30"/>
    </row>
    <row r="8" spans="1:8" x14ac:dyDescent="0.3">
      <c r="A8" s="1" t="s">
        <v>8</v>
      </c>
      <c r="B8" s="30" t="s">
        <v>383</v>
      </c>
      <c r="C8" s="30"/>
      <c r="D8" s="30"/>
      <c r="E8" s="30"/>
      <c r="F8" s="30"/>
      <c r="G8" s="30"/>
      <c r="H8" s="30"/>
    </row>
    <row r="9" spans="1:8" x14ac:dyDescent="0.3">
      <c r="A9" s="1"/>
    </row>
    <row r="10" spans="1:8" x14ac:dyDescent="0.3">
      <c r="A10" s="1" t="s">
        <v>9</v>
      </c>
      <c r="B10" s="30" t="s">
        <v>384</v>
      </c>
      <c r="C10" s="30"/>
      <c r="D10" s="30"/>
      <c r="E10" s="30"/>
      <c r="F10" s="30"/>
      <c r="G10" s="30"/>
      <c r="H10" s="30"/>
    </row>
    <row r="13" spans="1:8" ht="15.6" customHeight="1" x14ac:dyDescent="0.3">
      <c r="A13" s="29" t="s">
        <v>10</v>
      </c>
      <c r="B13" s="30"/>
      <c r="C13" s="30"/>
      <c r="D13" s="30"/>
      <c r="E13" s="30"/>
      <c r="F13" s="30"/>
      <c r="G13" s="30"/>
      <c r="H13" s="30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15" t="s">
        <v>381</v>
      </c>
      <c r="D17" s="4" t="s">
        <v>30</v>
      </c>
      <c r="E17" s="4" t="s">
        <v>31</v>
      </c>
      <c r="F17" s="16">
        <f>IFERROR(COUNTIF('Phase 3 - Multi-Modal'!E5:E100,"Complete")/COUNTA('Phase 3 - Multi-Modal'!A5:A100),0)</f>
        <v>0.2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32</v>
      </c>
      <c r="C18" s="7" t="s">
        <v>29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132</v>
      </c>
    </row>
    <row r="25" spans="1:8" x14ac:dyDescent="0.3">
      <c r="A25" s="1" t="s">
        <v>43</v>
      </c>
      <c r="B25" t="s">
        <v>387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388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386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53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102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pane ySplit="4" topLeftCell="A5" activePane="bottomLeft" state="frozen"/>
      <selection pane="bottomLeft" activeCell="I10" sqref="I10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149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28" t="s">
        <v>381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25</v>
      </c>
      <c r="F7" s="11" t="s">
        <v>67</v>
      </c>
      <c r="G7" s="10">
        <v>1</v>
      </c>
      <c r="H7" s="10">
        <v>0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25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29</v>
      </c>
      <c r="F12" s="11" t="s">
        <v>67</v>
      </c>
      <c r="G12" s="10">
        <v>0.5</v>
      </c>
      <c r="H12" s="10">
        <v>0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29</v>
      </c>
      <c r="F13" s="11" t="s">
        <v>67</v>
      </c>
      <c r="G13" s="10">
        <v>1</v>
      </c>
      <c r="H13" s="10">
        <v>0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169</v>
      </c>
      <c r="D14" s="10" t="s">
        <v>66</v>
      </c>
      <c r="E14" s="7" t="s">
        <v>29</v>
      </c>
      <c r="F14" s="11" t="s">
        <v>67</v>
      </c>
      <c r="G14" s="10">
        <v>2</v>
      </c>
      <c r="H14" s="10">
        <v>0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171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173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174</v>
      </c>
      <c r="B17" s="10" t="s">
        <v>87</v>
      </c>
      <c r="C17" s="10" t="s">
        <v>175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176</v>
      </c>
      <c r="B18" s="10" t="s">
        <v>87</v>
      </c>
      <c r="C18" s="10" t="s">
        <v>177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178</v>
      </c>
      <c r="B19" s="10" t="s">
        <v>87</v>
      </c>
      <c r="C19" s="10" t="s">
        <v>179</v>
      </c>
      <c r="D19" s="10" t="s">
        <v>66</v>
      </c>
      <c r="E19" s="7" t="s">
        <v>29</v>
      </c>
      <c r="F19" s="4" t="s">
        <v>94</v>
      </c>
      <c r="G19" s="10">
        <v>1.5</v>
      </c>
      <c r="H19" s="10">
        <v>0</v>
      </c>
      <c r="I19" s="10"/>
      <c r="J19" s="10"/>
    </row>
    <row r="20" spans="1:10" x14ac:dyDescent="0.3">
      <c r="A20" s="10" t="s">
        <v>180</v>
      </c>
      <c r="B20" s="10" t="s">
        <v>92</v>
      </c>
      <c r="C20" s="10" t="s">
        <v>181</v>
      </c>
      <c r="D20" s="10" t="s">
        <v>66</v>
      </c>
      <c r="E20" s="7" t="s">
        <v>29</v>
      </c>
      <c r="F20" s="4" t="s">
        <v>94</v>
      </c>
      <c r="G20" s="10">
        <v>1</v>
      </c>
      <c r="H20" s="10">
        <v>0</v>
      </c>
      <c r="I20" s="10"/>
      <c r="J20" s="10"/>
    </row>
    <row r="21" spans="1:10" x14ac:dyDescent="0.3">
      <c r="A21" s="10" t="s">
        <v>182</v>
      </c>
      <c r="B21" s="10" t="s">
        <v>92</v>
      </c>
      <c r="C21" s="10" t="s">
        <v>183</v>
      </c>
      <c r="D21" s="10" t="s">
        <v>66</v>
      </c>
      <c r="E21" s="7" t="s">
        <v>29</v>
      </c>
      <c r="F21" s="4" t="s">
        <v>94</v>
      </c>
      <c r="G21" s="10">
        <v>0.5</v>
      </c>
      <c r="H21" s="10">
        <v>0</v>
      </c>
      <c r="I21" s="10"/>
      <c r="J21" s="10"/>
    </row>
    <row r="22" spans="1:10" x14ac:dyDescent="0.3">
      <c r="A22" s="10" t="s">
        <v>184</v>
      </c>
      <c r="B22" s="10" t="s">
        <v>92</v>
      </c>
      <c r="C22" s="10" t="s">
        <v>185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186</v>
      </c>
      <c r="B23" s="10" t="s">
        <v>92</v>
      </c>
      <c r="C23" s="10" t="s">
        <v>187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188</v>
      </c>
      <c r="B24" s="10" t="s">
        <v>92</v>
      </c>
      <c r="C24" s="10" t="s">
        <v>189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3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190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29</v>
      </c>
      <c r="F8" s="11" t="s">
        <v>67</v>
      </c>
      <c r="G8" s="10">
        <v>0.5</v>
      </c>
      <c r="H8" s="10">
        <v>0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231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2" t="s">
        <v>270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3" t="s">
        <v>311</v>
      </c>
      <c r="B1" s="30"/>
      <c r="C1" s="30"/>
      <c r="D1" s="30"/>
      <c r="E1" s="30"/>
      <c r="F1" s="30"/>
      <c r="G1" s="30"/>
      <c r="H1" s="30"/>
      <c r="I1" s="30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2" t="s">
        <v>324</v>
      </c>
      <c r="B1" s="30"/>
      <c r="C1" s="30"/>
      <c r="D1" s="30"/>
      <c r="E1" s="30"/>
      <c r="F1" s="30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2" t="s">
        <v>331</v>
      </c>
      <c r="B1" s="30"/>
      <c r="C1" s="30"/>
      <c r="D1" s="30"/>
      <c r="E1" s="30"/>
      <c r="F1" s="30"/>
    </row>
    <row r="4" spans="1:6" ht="15.6" customHeight="1" x14ac:dyDescent="0.3">
      <c r="A4" s="29" t="s">
        <v>332</v>
      </c>
      <c r="B4" s="30"/>
      <c r="C4" s="30"/>
      <c r="D4" s="30"/>
      <c r="E4" s="30"/>
      <c r="F4" s="30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29" t="s">
        <v>341</v>
      </c>
      <c r="B10" s="30"/>
      <c r="C10" s="30"/>
      <c r="D10" s="30"/>
      <c r="E10" s="30"/>
      <c r="F10" s="30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29" t="s">
        <v>350</v>
      </c>
      <c r="B16" s="30"/>
      <c r="C16" s="30"/>
      <c r="D16" s="30"/>
      <c r="E16" s="30"/>
      <c r="F16" s="30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29" t="s">
        <v>359</v>
      </c>
      <c r="B22" s="30"/>
      <c r="C22" s="30"/>
      <c r="D22" s="30"/>
      <c r="E22" s="30"/>
      <c r="F22" s="30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29" t="s">
        <v>366</v>
      </c>
      <c r="B27" s="30"/>
      <c r="C27" s="30"/>
      <c r="D27" s="30"/>
      <c r="E27" s="30"/>
      <c r="F27" s="30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2025-11-30T00:09:09Z</dcterms:modified>
</cp:coreProperties>
</file>