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231" documentId="8_{C9C18196-394D-4E08-AEE3-4532190AC77C}" xr6:coauthVersionLast="47" xr6:coauthVersionMax="47" xr10:uidLastSave="{1EC2CE71-16DC-497E-97AA-FF46821CF4EA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<sst xmlns="http://schemas.openxmlformats.org/spreadsheetml/2006/main" count="957" uniqueCount="400">
  <si>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</si>
  <si>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</si>
  <si>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</si>
  <si>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</si>
  <si>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</si>
  <si>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</si>
  <si>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</si>
  <si>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</si>
  <si>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</si>
  <si>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</si>
  <si>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</si>
  <si>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</si>
  <si>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</si>
  <si>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</si>
  <si>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</si>
  <si>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</si>
  <si>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</si>
  <si>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</si>
  <si>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</si>
  <si>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</si>
  <si>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</si>
  <si>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</si>
  <si>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</si>
  <si>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</si>
  <si>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</si>
  <si>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</si>
  <si>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</si>
  <si>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</si>
  <si>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</si>
  <si>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</si>
  <si>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</si>
  <si>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</si>
  <si>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</si>
  <si>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</si>
  <si>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</si>
  <si>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</si>
  <si>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</si>
  <si>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</si>
  <si>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</si>
  <si>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</si>
  <si>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</si>
  <si>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</si>
  <si>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</si>
  <si>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</si>
  <si>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</si>
  <si>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</si>
  <si>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</si>
  <si>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</si>
  <si>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</si>
  <si>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</si>
  <si>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</si>
  <si>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</si>
  <si>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</si>
  <si>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</si>
  <si>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</si>
  <si>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</si>
  <si>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</si>
  <si>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</si>
  <si>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</si>
  <si>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</si>
  <si>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</si>
  <si>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</si>
  <si>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</si>
  <si>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</si>
  <si>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</si>
  <si>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</si>
  <si>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</si>
  <si>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</si>
  <si>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</si>
  <si>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</si>
  <si>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</si>
  <si>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</si>
  <si>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</si>
  <si>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</si>
  <si>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</si>
  <si>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</si>
  <si>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</si>
  <si>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</si>
  <si>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</si>
  <si>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</si>
  <si>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</si>
  <si>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</si>
  <si>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</si>
  <si>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</si>
  <si>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</si>
  <si>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</si>
  <si>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</si>
  <si>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</si>
  <si>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</si>
  <si>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</si>
  <si>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</si>
  <si>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</si>
  <si>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</si>
  <si>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</si>
  <si>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</si>
  <si>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</si>
  <si>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</si>
  <si>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</si>
  <si>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</si>
  <si>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</si>
  <si>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</si>
  <si>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</si>
  <si>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</si>
  <si>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</si>
  <si>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</si>
  <si>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</si>
  <si>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</si>
  <si>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</si>
  <si>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</si>
  <si>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</si>
  <si>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</si>
  <si>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</si>
  <si>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</si>
  <si>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</si>
  <si>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</si>
  <si>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</si>
  <si>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</si>
  <si>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</si>
  <si>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</si>
  <si>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</si>
  <si>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</si>
  <si>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</si>
  <si>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</si>
  <si>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</si>
  <si>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</si>
  <si>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</si>
  <si>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</si>
  <si>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</si>
  <si>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</si>
  <si>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</si>
  <si>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</si>
  <si>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</si>
  <si>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</si>
  <si>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</si>
  <si>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</si>
  <si>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</si>
  <si>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</si>
  <si>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</si>
  <si>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</si>
  <si>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</si>
  <si>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</si>
  <si>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</si>
  <si>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</si>
  <si>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</si>
  <si>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</si>
  <si>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</si>
  <si>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</si>
  <si>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</si>
  <si>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</si>
  <si>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</si>
  <si>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</si>
  <si>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</si>
  <si>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</si>
  <si>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</si>
  <si>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</si>
  <si>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</si>
  <si>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</si>
  <si>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</si>
  <si>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</si>
  <si>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</si>
  <si>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</si>
  <si>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</si>
  <si>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</si>
  <si>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</si>
  <si>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</si>
  <si>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</si>
  <si>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</si>
  <si>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</si>
  <si>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</si>
  <si>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</si>
  <si>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</si>
  <si>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</si>
  <si>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</si>
  <si>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</si>
  <si>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</si>
  <si>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</si>
  <si>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</si>
  <si>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</si>
  <si>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</si>
  <si>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</si>
  <si>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</si>
  <si>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</si>
  <si>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</si>
  <si>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</si>
  <si>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</si>
  <si>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</si>
  <si>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</si>
  <si>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</si>
  <si>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</si>
  <si>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</si>
  <si>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</si>
  <si>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</si>
  <si>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</si>
  <si>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</si>
  <si>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</si>
  <si>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</si>
  <si>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</si>
  <si>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</si>
  <si>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</si>
  <si>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</si>
  <si>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</si>
  <si>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</si>
  <si>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</si>
  <si>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</si>
  <si>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</si>
  <si>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</si>
  <si>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</si>
  <si>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</si>
  <si>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</si>
  <si>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</si>
  <si>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</si>
  <si>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</si>
  <si>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</si>
  <si>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</si>
  <si>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</si>
  <si>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</si>
  <si>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</si>
  <si>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</si>
  <si>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</si>
  <si>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</si>
  <si>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</si>
  <si>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</si>
  <si>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</si>
  <si>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</si>
  <si>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</si>
  <si>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</si>
  <si>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</si>
  <si>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</si>
  <si>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</si>
  <si>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</si>
  <si>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</si>
  <si>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</si>
  <si>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</si>
  <si>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</si>
  <si>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</si>
  <si>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</si>
  <si>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</si>
  <si>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</si>
  <si>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</si>
  <si>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</si>
  <si>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</si>
  <si>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</si>
  <si>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</si>
  <si>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</si>
  <si>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</si>
  <si>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</si>
  <si>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</si>
  <si>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</si>
  <si>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</si>
  <si>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</si>
  <si>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</si>
  <si>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</si>
  <si>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</si>
  <si>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</si>
  <si>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</si>
  <si>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</si>
  <si>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</si>
  <si>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</si>
  <si>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</si>
  <si>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</si>
  <si>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</si>
  <si>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</si>
  <si>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</si>
  <si>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</si>
  <si>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</si>
  <si>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</si>
  <si>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</si>
  <si>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</si>
  <si>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</si>
  <si>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</si>
  <si>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</si>
  <si>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</si>
  <si>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</si>
  <si>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</si>
  <si>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</si>
  <si>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</si>
  <si>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</si>
  <si>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</si>
  <si>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</si>
  <si>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</si>
  <si>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</si>
  <si>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</si>
  <si>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</si>
  <si>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</si>
  <si>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</si>
  <si>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</si>
  <si>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</si>
  <si>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</si>
  <si>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</si>
  <si>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</si>
  <si>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</si>
  <si>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</si>
  <si>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</si>
  <si>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</si>
  <si>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</si>
  <si>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</si>
  <si>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</si>
  <si>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</si>
  <si>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</si>
  <si>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</si>
  <si>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</si>
  <si>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</si>
  <si>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</si>
  <si>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</si>
  <si>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</si>
  <si>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</si>
  <si>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</si>
  <si>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</si>
  <si>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</si>
  <si>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</si>
  <si>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</si>
  <si>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</si>
  <si>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</si>
  <si>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</si>
  <si>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</si>
  <si>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</si>
  <si>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</si>
  <si>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</si>
  <si>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</si>
  <si>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</si>
  <si>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</si>
  <si>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</si>
  <si>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</si>
  <si>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</si>
  <si>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</si>
  <si>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</si>
  <si>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</si>
  <si>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</si>
  <si>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</si>
  <si>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</si>
  <si>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</si>
  <si>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</si>
  <si>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</si>
  <si>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</si>
  <si>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</si>
  <si>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</si>
  <si>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</si>
  <si>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</si>
  <si>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</si>
  <si>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</si>
  <si>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</si>
  <si>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</si>
  <si>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</si>
  <si>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</si>
  <si>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</si>
  <si>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</si>
  <si>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</si>
  <si>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</si>
  <si>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</si>
  <si>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</si>
  <si>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</si>
  <si>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</si>
  <si>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</si>
  <si>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</si>
  <si>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</si>
  <si>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</si>
  <si>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</si>
  <si>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</si>
  <si>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</si>
  <si>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</si>
  <si>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</si>
  <si>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</si>
  <si>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</si>
  <si>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</si>
  <si>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</si>
  <si>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</si>
  <si>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</si>
  <si>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</si>
  <si>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</si>
  <si>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</si>
  <si>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</si>
  <si>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</si>
  <si>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</si>
  <si>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</si>
  <si>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</si>
  <si>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</si>
  <si>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</si>
  <si>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</si>
  <si>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</si>
  <si>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</si>
  <si>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</si>
  <si>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In progress</t>
  </si>
  <si>
    <t>Phase 3 - Multi-Modal Layer</t>
  </si>
  <si>
    <t>Delayed a week</t>
  </si>
  <si>
    <t>AWS (VPC, EC2, RDS, Lambda, S3, CloudFront, ALB, CloudWatch, Secrets Manager), Terraform, Python, FastAPI, PostgreSQL</t>
  </si>
  <si>
    <t>7 Weeks (90-120 hours total)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</si>
  <si>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</si>
  <si>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</si>
  <si>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</si>
  <si>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</si>
  <si>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</si>
  <si>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</si>
  <si>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</si>
  <si>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</si>
  <si>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</si>
  <si>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</si>
  <si>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</si>
  <si>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54.5 / 120</t>
  </si>
  <si>
    <t>49 (36%)</t>
  </si>
  <si>
    <t>84 (61%)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</si>
</sst>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9" borderId="0" xfId="0" applyFill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11" workbookViewId="0">
      <selection activeCell="C29" sqref="C29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1" t="s">
        <v>0</v>
      </c>
      <c r="B1" s="30"/>
      <c r="C1" s="30"/>
      <c r="D1" s="30"/>
      <c r="E1" s="30"/>
      <c r="F1" s="30"/>
      <c r="G1" s="30"/>
      <c r="H1" s="30"/>
    </row>
    <row r="3" spans="1:8" x14ac:dyDescent="0.3">
      <c r="A3" s="1" t="s">
        <v>1</v>
      </c>
      <c r="B3" s="30" t="s">
        <v>2</v>
      </c>
      <c r="C3" s="30"/>
      <c r="D3" s="30"/>
      <c r="E3" s="30"/>
      <c r="F3" s="30"/>
      <c r="G3" s="30"/>
      <c r="H3" s="30"/>
    </row>
    <row r="4" spans="1:8" x14ac:dyDescent="0.3">
      <c r="A4" s="1" t="s">
        <v>3</v>
      </c>
      <c r="B4" s="30" t="s">
        <v>380</v>
      </c>
      <c r="C4" s="30"/>
      <c r="D4" s="30"/>
      <c r="E4" s="30"/>
      <c r="F4" s="30"/>
      <c r="G4" s="30"/>
      <c r="H4" s="30"/>
    </row>
    <row r="5" spans="1:8" x14ac:dyDescent="0.3">
      <c r="A5" s="1" t="s">
        <v>4</v>
      </c>
      <c r="B5" s="30" t="s">
        <v>385</v>
      </c>
      <c r="C5" s="30"/>
      <c r="D5" s="30"/>
      <c r="E5" s="30"/>
      <c r="F5" s="30"/>
      <c r="G5" s="30"/>
      <c r="H5" s="30"/>
    </row>
    <row r="6" spans="1:8" x14ac:dyDescent="0.3">
      <c r="A6" s="1" t="s">
        <v>5</v>
      </c>
      <c r="B6" s="30" t="s">
        <v>6</v>
      </c>
      <c r="C6" s="30"/>
      <c r="D6" s="30"/>
      <c r="E6" s="30"/>
      <c r="F6" s="30"/>
      <c r="G6" s="30"/>
      <c r="H6" s="30"/>
    </row>
    <row r="7" spans="1:8" x14ac:dyDescent="0.3">
      <c r="A7" s="1" t="s">
        <v>7</v>
      </c>
      <c r="B7" s="30" t="s">
        <v>382</v>
      </c>
      <c r="C7" s="30"/>
      <c r="D7" s="30"/>
      <c r="E7" s="30"/>
      <c r="F7" s="30"/>
      <c r="G7" s="30"/>
      <c r="H7" s="30"/>
    </row>
    <row r="8" spans="1:8" x14ac:dyDescent="0.3">
      <c r="A8" s="1" t="s">
        <v>8</v>
      </c>
      <c r="B8" s="30" t="s">
        <v>383</v>
      </c>
      <c r="C8" s="30"/>
      <c r="D8" s="30"/>
      <c r="E8" s="30"/>
      <c r="F8" s="30"/>
      <c r="G8" s="30"/>
      <c r="H8" s="30"/>
    </row>
    <row r="9" spans="1:8" x14ac:dyDescent="0.3">
      <c r="A9" s="1"/>
    </row>
    <row r="10" spans="1:8" x14ac:dyDescent="0.3">
      <c r="A10" s="1" t="s">
        <v>9</v>
      </c>
      <c r="B10" s="30" t="s">
        <v>384</v>
      </c>
      <c r="C10" s="30"/>
      <c r="D10" s="30"/>
      <c r="E10" s="30"/>
      <c r="F10" s="30"/>
      <c r="G10" s="30"/>
      <c r="H10" s="30"/>
    </row>
    <row r="13" spans="1:8" ht="15.6" customHeight="1" x14ac:dyDescent="0.3">
      <c r="A13" s="29" t="s">
        <v>10</v>
      </c>
      <c r="B13" s="30"/>
      <c r="C13" s="30"/>
      <c r="D13" s="30"/>
      <c r="E13" s="30"/>
      <c r="F13" s="30"/>
      <c r="G13" s="30"/>
      <c r="H13" s="30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375</v>
      </c>
    </row>
    <row r="17" spans="1:8" x14ac:dyDescent="0.3">
      <c r="A17" s="4">
        <v>3</v>
      </c>
      <c r="B17" s="5" t="s">
        <v>28</v>
      </c>
      <c r="C17" s="15" t="s">
        <v>381</v>
      </c>
      <c r="D17" s="4" t="s">
        <v>30</v>
      </c>
      <c r="E17" s="4" t="s">
        <v>31</v>
      </c>
      <c r="F17" s="16">
        <f>IFERROR(COUNTIF('Phase 3 - Multi-Modal'!E5:E105,"Complete")/COUNTA('Phase 3 - Multi-Modal'!A5:A105),0)</f>
        <v>0.52</v>
      </c>
      <c r="G17" s="4">
        <f>COUNTIF('Phase 3 - Multi-Modal'!E:E,"Blocked")</f>
        <v>0</v>
      </c>
      <c r="H17" s="4"/>
    </row>
    <row r="18" spans="1:8" x14ac:dyDescent="0.3">
      <c r="A18" s="4">
        <v>4</v>
      </c>
      <c r="B18" s="5" t="s">
        <v>32</v>
      </c>
      <c r="C18" s="7" t="s">
        <v>29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43</v>
      </c>
      <c r="B25" t="s">
        <v>398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399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397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53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102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8" activePane="bottomLeft" state="frozen"/>
      <selection pane="bottomLeft" activeCell="E18" sqref="E18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149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28" t="s">
        <v>381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20</v>
      </c>
      <c r="F7" s="11" t="s">
        <v>67</v>
      </c>
      <c r="G7" s="10">
        <v>1</v>
      </c>
      <c r="H7" s="10">
        <v>1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20</v>
      </c>
      <c r="F10" s="11" t="s">
        <v>67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 t="s">
        <v>386</v>
      </c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20</v>
      </c>
      <c r="F12" s="11" t="s">
        <v>67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20</v>
      </c>
      <c r="F13" s="11" t="s">
        <v>67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387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388</v>
      </c>
      <c r="D15" s="10" t="s">
        <v>66</v>
      </c>
      <c r="E15" s="7" t="s">
        <v>20</v>
      </c>
      <c r="F15" s="11" t="s">
        <v>67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389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174</v>
      </c>
      <c r="B17" s="10" t="s">
        <v>83</v>
      </c>
      <c r="C17" s="10" t="s">
        <v>390</v>
      </c>
      <c r="D17" s="10" t="s">
        <v>66</v>
      </c>
      <c r="E17" s="7" t="s">
        <v>20</v>
      </c>
      <c r="F17" s="11" t="s">
        <v>67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176</v>
      </c>
      <c r="B18" s="10" t="s">
        <v>83</v>
      </c>
      <c r="C18" s="10" t="s">
        <v>391</v>
      </c>
      <c r="D18" s="10" t="s">
        <v>66</v>
      </c>
      <c r="E18" s="7" t="s">
        <v>20</v>
      </c>
      <c r="F18" s="11" t="s">
        <v>94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178</v>
      </c>
      <c r="B19" s="10" t="s">
        <v>83</v>
      </c>
      <c r="C19" s="10" t="s">
        <v>169</v>
      </c>
      <c r="D19" s="10" t="s">
        <v>66</v>
      </c>
      <c r="E19" s="7" t="s">
        <v>29</v>
      </c>
      <c r="F19" s="11" t="s">
        <v>67</v>
      </c>
      <c r="G19" s="10">
        <v>2</v>
      </c>
      <c r="H19" s="10">
        <v>0</v>
      </c>
      <c r="I19" s="10"/>
      <c r="J19" s="10"/>
    </row>
    <row r="20" spans="1:10" x14ac:dyDescent="0.3">
      <c r="A20" s="10" t="s">
        <v>180</v>
      </c>
      <c r="B20" s="10" t="s">
        <v>83</v>
      </c>
      <c r="C20" s="10" t="s">
        <v>171</v>
      </c>
      <c r="D20" s="10" t="s">
        <v>66</v>
      </c>
      <c r="E20" s="7" t="s">
        <v>29</v>
      </c>
      <c r="F20" s="11" t="s">
        <v>67</v>
      </c>
      <c r="G20" s="10">
        <v>1</v>
      </c>
      <c r="H20" s="10">
        <v>0</v>
      </c>
      <c r="I20" s="10"/>
      <c r="J20" s="10"/>
    </row>
    <row r="21" spans="1:10" x14ac:dyDescent="0.3">
      <c r="A21" s="10" t="s">
        <v>182</v>
      </c>
      <c r="B21" s="10" t="s">
        <v>83</v>
      </c>
      <c r="C21" s="10" t="s">
        <v>173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184</v>
      </c>
      <c r="B22" s="10" t="s">
        <v>87</v>
      </c>
      <c r="C22" s="10" t="s">
        <v>175</v>
      </c>
      <c r="D22" s="10" t="s">
        <v>66</v>
      </c>
      <c r="E22" s="7" t="s">
        <v>29</v>
      </c>
      <c r="F22" s="11" t="s">
        <v>67</v>
      </c>
      <c r="G22" s="10">
        <v>2</v>
      </c>
      <c r="H22" s="10">
        <v>0</v>
      </c>
      <c r="I22" s="10"/>
      <c r="J22" s="10"/>
    </row>
    <row r="23" spans="1:10" x14ac:dyDescent="0.3">
      <c r="A23" s="10" t="s">
        <v>186</v>
      </c>
      <c r="B23" s="10" t="s">
        <v>87</v>
      </c>
      <c r="C23" s="10" t="s">
        <v>177</v>
      </c>
      <c r="D23" s="10" t="s">
        <v>66</v>
      </c>
      <c r="E23" s="7" t="s">
        <v>29</v>
      </c>
      <c r="F23" s="4" t="s">
        <v>94</v>
      </c>
      <c r="G23" s="10">
        <v>1</v>
      </c>
      <c r="H23" s="10">
        <v>0</v>
      </c>
      <c r="I23" s="10"/>
      <c r="J23" s="10"/>
    </row>
    <row r="24" spans="1:10" x14ac:dyDescent="0.3">
      <c r="A24" s="10" t="s">
        <v>188</v>
      </c>
      <c r="B24" s="10" t="s">
        <v>87</v>
      </c>
      <c r="C24" s="10" t="s">
        <v>179</v>
      </c>
      <c r="D24" s="10" t="s">
        <v>66</v>
      </c>
      <c r="E24" s="7" t="s">
        <v>29</v>
      </c>
      <c r="F24" s="4" t="s">
        <v>94</v>
      </c>
      <c r="G24" s="10">
        <v>1.5</v>
      </c>
      <c r="H24" s="10">
        <v>0</v>
      </c>
      <c r="I24" s="10"/>
      <c r="J24" s="10"/>
    </row>
    <row r="25" spans="1:10" x14ac:dyDescent="0.3">
      <c r="A25" s="10" t="s">
        <v>392</v>
      </c>
      <c r="B25" s="10" t="s">
        <v>92</v>
      </c>
      <c r="C25" s="10" t="s">
        <v>181</v>
      </c>
      <c r="D25" s="10" t="s">
        <v>66</v>
      </c>
      <c r="E25" s="7" t="s">
        <v>29</v>
      </c>
      <c r="F25" s="4" t="s">
        <v>94</v>
      </c>
      <c r="G25" s="10">
        <v>1</v>
      </c>
      <c r="H25" s="10">
        <v>0</v>
      </c>
      <c r="I25" s="10"/>
      <c r="J25" s="10"/>
    </row>
    <row r="26" spans="1:10" x14ac:dyDescent="0.3">
      <c r="A26" s="10" t="s">
        <v>393</v>
      </c>
      <c r="B26" s="10" t="s">
        <v>92</v>
      </c>
      <c r="C26" s="10" t="s">
        <v>183</v>
      </c>
      <c r="D26" s="10" t="s">
        <v>66</v>
      </c>
      <c r="E26" s="7" t="s">
        <v>29</v>
      </c>
      <c r="F26" s="4" t="s">
        <v>94</v>
      </c>
      <c r="G26" s="10">
        <v>0.5</v>
      </c>
      <c r="H26" s="10">
        <v>0</v>
      </c>
      <c r="I26" s="10"/>
      <c r="J26" s="10"/>
    </row>
    <row r="27" spans="1:10" x14ac:dyDescent="0.3">
      <c r="A27" s="10" t="s">
        <v>394</v>
      </c>
      <c r="B27" s="10" t="s">
        <v>92</v>
      </c>
      <c r="C27" s="10" t="s">
        <v>185</v>
      </c>
      <c r="D27" s="10" t="s">
        <v>66</v>
      </c>
      <c r="E27" s="7" t="s">
        <v>29</v>
      </c>
      <c r="F27" s="11" t="s">
        <v>67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395</v>
      </c>
      <c r="B28" s="10" t="s">
        <v>92</v>
      </c>
      <c r="C28" s="10" t="s">
        <v>187</v>
      </c>
      <c r="D28" s="10" t="s">
        <v>66</v>
      </c>
      <c r="E28" s="7" t="s">
        <v>29</v>
      </c>
      <c r="F28" s="11" t="s">
        <v>67</v>
      </c>
      <c r="G28" s="10">
        <v>1.5</v>
      </c>
      <c r="H28" s="10">
        <v>0</v>
      </c>
      <c r="I28" s="10"/>
      <c r="J28" s="10"/>
    </row>
    <row r="29" spans="1:10" x14ac:dyDescent="0.3">
      <c r="A29" s="10" t="s">
        <v>396</v>
      </c>
      <c r="B29" s="10" t="s">
        <v>92</v>
      </c>
      <c r="C29" s="10" t="s">
        <v>189</v>
      </c>
      <c r="D29" s="10" t="s">
        <v>66</v>
      </c>
      <c r="E29" s="7" t="s">
        <v>29</v>
      </c>
      <c r="F29" s="4" t="s">
        <v>101</v>
      </c>
      <c r="G29" s="10">
        <v>0.5</v>
      </c>
      <c r="H29" s="10">
        <v>0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190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29</v>
      </c>
      <c r="F8" s="11" t="s">
        <v>67</v>
      </c>
      <c r="G8" s="10">
        <v>0.5</v>
      </c>
      <c r="H8" s="10">
        <v>0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29</v>
      </c>
      <c r="F10" s="11" t="s">
        <v>67</v>
      </c>
      <c r="G10" s="10">
        <v>1.5</v>
      </c>
      <c r="H10" s="10">
        <v>0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29</v>
      </c>
      <c r="F11" s="11" t="s">
        <v>67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29</v>
      </c>
      <c r="F14" s="11" t="s">
        <v>67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29</v>
      </c>
      <c r="F16" s="4" t="s">
        <v>94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215</v>
      </c>
      <c r="B17" s="10" t="s">
        <v>87</v>
      </c>
      <c r="C17" s="10" t="s">
        <v>216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217</v>
      </c>
      <c r="B18" s="10" t="s">
        <v>87</v>
      </c>
      <c r="C18" s="10" t="s">
        <v>218</v>
      </c>
      <c r="D18" s="10" t="s">
        <v>66</v>
      </c>
      <c r="E18" s="7" t="s">
        <v>29</v>
      </c>
      <c r="F18" s="11" t="s">
        <v>67</v>
      </c>
      <c r="G18" s="10">
        <v>1.5</v>
      </c>
      <c r="H18" s="10">
        <v>0</v>
      </c>
      <c r="I18" s="10"/>
      <c r="J18" s="10"/>
    </row>
    <row r="19" spans="1:10" x14ac:dyDescent="0.3">
      <c r="A19" s="10" t="s">
        <v>219</v>
      </c>
      <c r="B19" s="10" t="s">
        <v>87</v>
      </c>
      <c r="C19" s="10" t="s">
        <v>220</v>
      </c>
      <c r="D19" s="10" t="s">
        <v>66</v>
      </c>
      <c r="E19" s="7" t="s">
        <v>29</v>
      </c>
      <c r="F19" s="11" t="s">
        <v>67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221</v>
      </c>
      <c r="B20" s="10" t="s">
        <v>92</v>
      </c>
      <c r="C20" s="10" t="s">
        <v>222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223</v>
      </c>
      <c r="B21" s="10" t="s">
        <v>92</v>
      </c>
      <c r="C21" s="10" t="s">
        <v>224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225</v>
      </c>
      <c r="B22" s="10" t="s">
        <v>92</v>
      </c>
      <c r="C22" s="10" t="s">
        <v>226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227</v>
      </c>
      <c r="B23" s="10" t="s">
        <v>92</v>
      </c>
      <c r="C23" s="10" t="s">
        <v>228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229</v>
      </c>
      <c r="B24" s="10" t="s">
        <v>92</v>
      </c>
      <c r="C24" s="10" t="s">
        <v>230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231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232</v>
      </c>
      <c r="B5" s="10" t="s">
        <v>64</v>
      </c>
      <c r="C5" s="10" t="s">
        <v>233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234</v>
      </c>
      <c r="B6" s="10" t="s">
        <v>64</v>
      </c>
      <c r="C6" s="10" t="s">
        <v>235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236</v>
      </c>
      <c r="B7" s="10" t="s">
        <v>64</v>
      </c>
      <c r="C7" s="10" t="s">
        <v>237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238</v>
      </c>
      <c r="B8" s="10" t="s">
        <v>64</v>
      </c>
      <c r="C8" s="10" t="s">
        <v>239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240</v>
      </c>
      <c r="B9" s="10" t="s">
        <v>75</v>
      </c>
      <c r="C9" s="10" t="s">
        <v>241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242</v>
      </c>
      <c r="B10" s="10" t="s">
        <v>75</v>
      </c>
      <c r="C10" s="10" t="s">
        <v>243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244</v>
      </c>
      <c r="B11" s="10" t="s">
        <v>83</v>
      </c>
      <c r="C11" s="10" t="s">
        <v>245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246</v>
      </c>
      <c r="B12" s="10" t="s">
        <v>83</v>
      </c>
      <c r="C12" s="10" t="s">
        <v>247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248</v>
      </c>
      <c r="B13" s="10" t="s">
        <v>83</v>
      </c>
      <c r="C13" s="10" t="s">
        <v>249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250</v>
      </c>
      <c r="B14" s="10" t="s">
        <v>83</v>
      </c>
      <c r="C14" s="10" t="s">
        <v>251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252</v>
      </c>
      <c r="B15" s="10" t="s">
        <v>87</v>
      </c>
      <c r="C15" s="10" t="s">
        <v>253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254</v>
      </c>
      <c r="B16" s="10" t="s">
        <v>87</v>
      </c>
      <c r="C16" s="10" t="s">
        <v>255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256</v>
      </c>
      <c r="B17" s="10" t="s">
        <v>87</v>
      </c>
      <c r="C17" s="10" t="s">
        <v>257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258</v>
      </c>
      <c r="B18" s="10" t="s">
        <v>87</v>
      </c>
      <c r="C18" s="10" t="s">
        <v>259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260</v>
      </c>
      <c r="B19" s="10" t="s">
        <v>87</v>
      </c>
      <c r="C19" s="10" t="s">
        <v>261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262</v>
      </c>
      <c r="B20" s="10" t="s">
        <v>92</v>
      </c>
      <c r="C20" s="10" t="s">
        <v>263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264</v>
      </c>
      <c r="B21" s="10" t="s">
        <v>92</v>
      </c>
      <c r="C21" s="10" t="s">
        <v>265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266</v>
      </c>
      <c r="B22" s="10" t="s">
        <v>92</v>
      </c>
      <c r="C22" s="10" t="s">
        <v>267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268</v>
      </c>
      <c r="B23" s="10" t="s">
        <v>92</v>
      </c>
      <c r="C23" s="10" t="s">
        <v>269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270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271</v>
      </c>
      <c r="B5" s="10" t="s">
        <v>64</v>
      </c>
      <c r="C5" s="10" t="s">
        <v>272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273</v>
      </c>
      <c r="B6" s="10" t="s">
        <v>64</v>
      </c>
      <c r="C6" s="10" t="s">
        <v>274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275</v>
      </c>
      <c r="B7" s="10" t="s">
        <v>64</v>
      </c>
      <c r="C7" s="10" t="s">
        <v>276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277</v>
      </c>
      <c r="B8" s="10" t="s">
        <v>64</v>
      </c>
      <c r="C8" s="10" t="s">
        <v>278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279</v>
      </c>
      <c r="B9" s="10" t="s">
        <v>75</v>
      </c>
      <c r="C9" s="10" t="s">
        <v>280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281</v>
      </c>
      <c r="B10" s="10" t="s">
        <v>75</v>
      </c>
      <c r="C10" s="10" t="s">
        <v>282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283</v>
      </c>
      <c r="B11" s="10" t="s">
        <v>75</v>
      </c>
      <c r="C11" s="10" t="s">
        <v>284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285</v>
      </c>
      <c r="B12" s="10" t="s">
        <v>83</v>
      </c>
      <c r="C12" s="10" t="s">
        <v>286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287</v>
      </c>
      <c r="B13" s="10" t="s">
        <v>83</v>
      </c>
      <c r="C13" s="10" t="s">
        <v>288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289</v>
      </c>
      <c r="B14" s="10" t="s">
        <v>83</v>
      </c>
      <c r="C14" s="10" t="s">
        <v>290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291</v>
      </c>
      <c r="B15" s="10" t="s">
        <v>83</v>
      </c>
      <c r="C15" s="10" t="s">
        <v>292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293</v>
      </c>
      <c r="B16" s="10" t="s">
        <v>87</v>
      </c>
      <c r="C16" s="10" t="s">
        <v>294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295</v>
      </c>
      <c r="B17" s="10" t="s">
        <v>87</v>
      </c>
      <c r="C17" s="10" t="s">
        <v>296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297</v>
      </c>
      <c r="B18" s="10" t="s">
        <v>87</v>
      </c>
      <c r="C18" s="10" t="s">
        <v>298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299</v>
      </c>
      <c r="B19" s="10" t="s">
        <v>87</v>
      </c>
      <c r="C19" s="10" t="s">
        <v>300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301</v>
      </c>
      <c r="B20" s="10" t="s">
        <v>92</v>
      </c>
      <c r="C20" s="10" t="s">
        <v>302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303</v>
      </c>
      <c r="B21" s="10" t="s">
        <v>92</v>
      </c>
      <c r="C21" s="10" t="s">
        <v>304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305</v>
      </c>
      <c r="B22" s="10" t="s">
        <v>92</v>
      </c>
      <c r="C22" s="10" t="s">
        <v>306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307</v>
      </c>
      <c r="B23" s="10" t="s">
        <v>92</v>
      </c>
      <c r="C23" s="10" t="s">
        <v>308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309</v>
      </c>
      <c r="B24" s="10" t="s">
        <v>92</v>
      </c>
      <c r="C24" s="10" t="s">
        <v>310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3" t="s">
        <v>311</v>
      </c>
      <c r="B1" s="30"/>
      <c r="C1" s="30"/>
      <c r="D1" s="30"/>
      <c r="E1" s="30"/>
      <c r="F1" s="30"/>
      <c r="G1" s="30"/>
      <c r="H1" s="30"/>
      <c r="I1" s="30"/>
    </row>
    <row r="3" spans="1:9" x14ac:dyDescent="0.3">
      <c r="A3" s="3" t="s">
        <v>312</v>
      </c>
      <c r="B3" s="3" t="s">
        <v>11</v>
      </c>
      <c r="C3" s="3" t="s">
        <v>55</v>
      </c>
      <c r="D3" s="3" t="s">
        <v>12</v>
      </c>
      <c r="E3" s="3" t="s">
        <v>313</v>
      </c>
      <c r="F3" s="3" t="s">
        <v>13</v>
      </c>
      <c r="G3" s="3" t="s">
        <v>58</v>
      </c>
      <c r="H3" s="3" t="s">
        <v>314</v>
      </c>
      <c r="I3" s="3" t="s">
        <v>315</v>
      </c>
    </row>
    <row r="4" spans="1:9" ht="79.95" customHeight="1" x14ac:dyDescent="0.3">
      <c r="A4" s="17" t="s">
        <v>316</v>
      </c>
      <c r="B4" s="17" t="s">
        <v>317</v>
      </c>
      <c r="C4" s="17" t="s">
        <v>109</v>
      </c>
      <c r="D4" s="17" t="s">
        <v>318</v>
      </c>
      <c r="E4" s="18" t="s">
        <v>67</v>
      </c>
      <c r="F4" s="17" t="s">
        <v>25</v>
      </c>
      <c r="G4" s="17" t="s">
        <v>66</v>
      </c>
      <c r="H4" s="17" t="s">
        <v>319</v>
      </c>
      <c r="I4" s="19">
        <v>45974</v>
      </c>
    </row>
    <row r="5" spans="1:9" s="20" customFormat="1" ht="69" x14ac:dyDescent="0.3">
      <c r="A5" s="20" t="s">
        <v>320</v>
      </c>
      <c r="B5" s="20" t="s">
        <v>317</v>
      </c>
      <c r="C5" s="20" t="s">
        <v>113</v>
      </c>
      <c r="D5" s="20" t="s">
        <v>321</v>
      </c>
      <c r="E5" s="23" t="s">
        <v>67</v>
      </c>
      <c r="F5" s="20" t="s">
        <v>322</v>
      </c>
      <c r="G5" s="20" t="s">
        <v>66</v>
      </c>
      <c r="H5" s="21" t="s">
        <v>323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2" t="s">
        <v>324</v>
      </c>
      <c r="B1" s="30"/>
      <c r="C1" s="30"/>
      <c r="D1" s="30"/>
      <c r="E1" s="30"/>
      <c r="F1" s="30"/>
    </row>
    <row r="3" spans="1:6" x14ac:dyDescent="0.3">
      <c r="A3" s="3" t="s">
        <v>325</v>
      </c>
      <c r="B3" s="3" t="s">
        <v>326</v>
      </c>
      <c r="C3" s="3" t="s">
        <v>327</v>
      </c>
      <c r="D3" s="3" t="s">
        <v>328</v>
      </c>
      <c r="E3" s="3" t="s">
        <v>12</v>
      </c>
      <c r="F3" s="3" t="s">
        <v>313</v>
      </c>
    </row>
    <row r="4" spans="1:6" x14ac:dyDescent="0.3">
      <c r="A4" s="24">
        <v>45967</v>
      </c>
      <c r="B4" s="14" t="s">
        <v>66</v>
      </c>
      <c r="C4" s="14" t="s">
        <v>376</v>
      </c>
      <c r="D4" s="14" t="s">
        <v>377</v>
      </c>
      <c r="E4" s="14" t="s">
        <v>378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317</v>
      </c>
      <c r="D5" s="10" t="s">
        <v>329</v>
      </c>
      <c r="E5" s="10" t="s">
        <v>330</v>
      </c>
      <c r="F5" s="10" t="s">
        <v>67</v>
      </c>
    </row>
    <row r="6" spans="1:6" x14ac:dyDescent="0.3">
      <c r="A6" s="25">
        <v>45975</v>
      </c>
      <c r="B6" s="10" t="s">
        <v>66</v>
      </c>
      <c r="C6" s="10" t="s">
        <v>317</v>
      </c>
      <c r="D6" s="10" t="s">
        <v>329</v>
      </c>
      <c r="E6" s="10" t="s">
        <v>379</v>
      </c>
      <c r="F6" s="10" t="s">
        <v>67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2" t="s">
        <v>331</v>
      </c>
      <c r="B1" s="30"/>
      <c r="C1" s="30"/>
      <c r="D1" s="30"/>
      <c r="E1" s="30"/>
      <c r="F1" s="30"/>
    </row>
    <row r="4" spans="1:6" ht="15.6" customHeight="1" x14ac:dyDescent="0.3">
      <c r="A4" s="29" t="s">
        <v>332</v>
      </c>
      <c r="B4" s="30"/>
      <c r="C4" s="30"/>
      <c r="D4" s="30"/>
      <c r="E4" s="30"/>
      <c r="F4" s="30"/>
    </row>
    <row r="5" spans="1:6" x14ac:dyDescent="0.3">
      <c r="A5" s="1" t="s">
        <v>333</v>
      </c>
      <c r="B5" t="s">
        <v>334</v>
      </c>
    </row>
    <row r="6" spans="1:6" x14ac:dyDescent="0.3">
      <c r="A6" s="1" t="s">
        <v>335</v>
      </c>
      <c r="B6" t="s">
        <v>336</v>
      </c>
    </row>
    <row r="7" spans="1:6" x14ac:dyDescent="0.3">
      <c r="A7" s="1" t="s">
        <v>337</v>
      </c>
      <c r="B7" t="s">
        <v>338</v>
      </c>
    </row>
    <row r="8" spans="1:6" x14ac:dyDescent="0.3">
      <c r="A8" s="1" t="s">
        <v>339</v>
      </c>
      <c r="B8" t="s">
        <v>340</v>
      </c>
    </row>
    <row r="10" spans="1:6" ht="15.6" customHeight="1" x14ac:dyDescent="0.3">
      <c r="A10" s="29" t="s">
        <v>341</v>
      </c>
      <c r="B10" s="30"/>
      <c r="C10" s="30"/>
      <c r="D10" s="30"/>
      <c r="E10" s="30"/>
      <c r="F10" s="30"/>
    </row>
    <row r="11" spans="1:6" x14ac:dyDescent="0.3">
      <c r="A11" s="1" t="s">
        <v>342</v>
      </c>
      <c r="B11" t="s">
        <v>343</v>
      </c>
    </row>
    <row r="12" spans="1:6" x14ac:dyDescent="0.3">
      <c r="A12" s="1" t="s">
        <v>344</v>
      </c>
      <c r="B12" t="s">
        <v>345</v>
      </c>
    </row>
    <row r="13" spans="1:6" x14ac:dyDescent="0.3">
      <c r="A13" s="1" t="s">
        <v>346</v>
      </c>
      <c r="B13" t="s">
        <v>347</v>
      </c>
    </row>
    <row r="14" spans="1:6" x14ac:dyDescent="0.3">
      <c r="A14" s="1" t="s">
        <v>348</v>
      </c>
      <c r="B14" t="s">
        <v>349</v>
      </c>
    </row>
    <row r="16" spans="1:6" ht="15.6" customHeight="1" x14ac:dyDescent="0.3">
      <c r="A16" s="29" t="s">
        <v>350</v>
      </c>
      <c r="B16" s="30"/>
      <c r="C16" s="30"/>
      <c r="D16" s="30"/>
      <c r="E16" s="30"/>
      <c r="F16" s="30"/>
    </row>
    <row r="17" spans="1:6" x14ac:dyDescent="0.3">
      <c r="A17" s="1" t="s">
        <v>351</v>
      </c>
      <c r="B17" t="s">
        <v>352</v>
      </c>
    </row>
    <row r="18" spans="1:6" x14ac:dyDescent="0.3">
      <c r="A18" s="1" t="s">
        <v>353</v>
      </c>
      <c r="B18" t="s">
        <v>354</v>
      </c>
    </row>
    <row r="19" spans="1:6" x14ac:dyDescent="0.3">
      <c r="A19" s="1" t="s">
        <v>355</v>
      </c>
      <c r="B19" t="s">
        <v>356</v>
      </c>
    </row>
    <row r="20" spans="1:6" x14ac:dyDescent="0.3">
      <c r="A20" s="1" t="s">
        <v>357</v>
      </c>
      <c r="B20" t="s">
        <v>358</v>
      </c>
    </row>
    <row r="22" spans="1:6" ht="15.6" customHeight="1" x14ac:dyDescent="0.3">
      <c r="A22" s="29" t="s">
        <v>359</v>
      </c>
      <c r="B22" s="30"/>
      <c r="C22" s="30"/>
      <c r="D22" s="30"/>
      <c r="E22" s="30"/>
      <c r="F22" s="30"/>
    </row>
    <row r="23" spans="1:6" x14ac:dyDescent="0.3">
      <c r="A23" s="1" t="s">
        <v>360</v>
      </c>
      <c r="B23" t="s">
        <v>361</v>
      </c>
    </row>
    <row r="24" spans="1:6" x14ac:dyDescent="0.3">
      <c r="A24" s="1" t="s">
        <v>362</v>
      </c>
      <c r="B24" t="s">
        <v>363</v>
      </c>
    </row>
    <row r="25" spans="1:6" x14ac:dyDescent="0.3">
      <c r="A25" s="1" t="s">
        <v>364</v>
      </c>
      <c r="B25" t="s">
        <v>365</v>
      </c>
    </row>
    <row r="27" spans="1:6" ht="15.6" customHeight="1" x14ac:dyDescent="0.3">
      <c r="A27" s="29" t="s">
        <v>366</v>
      </c>
      <c r="B27" s="30"/>
      <c r="C27" s="30"/>
      <c r="D27" s="30"/>
      <c r="E27" s="30"/>
      <c r="F27" s="30"/>
    </row>
    <row r="28" spans="1:6" x14ac:dyDescent="0.3">
      <c r="A28" s="1" t="s">
        <v>367</v>
      </c>
      <c r="B28" t="s">
        <v>368</v>
      </c>
    </row>
    <row r="29" spans="1:6" x14ac:dyDescent="0.3">
      <c r="A29" s="1" t="s">
        <v>369</v>
      </c>
      <c r="B29" t="s">
        <v>370</v>
      </c>
    </row>
    <row r="30" spans="1:6" x14ac:dyDescent="0.3">
      <c r="A30" s="1" t="s">
        <v>371</v>
      </c>
      <c r="B30" t="s">
        <v>372</v>
      </c>
    </row>
    <row r="31" spans="1:6" x14ac:dyDescent="0.3">
      <c r="A31" s="1" t="s">
        <v>373</v>
      </c>
      <c r="B31" t="s">
        <v>374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2025-12-06T03:17:20Z</dcterms:modified>
</cp:coreProperties>
</file>