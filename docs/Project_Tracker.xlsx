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511" documentId="8_{C9C18196-394D-4E08-AEE3-4532190AC77C}" xr6:coauthVersionLast="47" xr6:coauthVersionMax="47" xr10:uidLastSave="{1F6BD9DB-6178-47FA-B7F1-3AE5A76A76F1}"/>
  <bookViews>
    <workbookView xWindow="-108" yWindow="-108" windowWidth="23256" windowHeight="12456" firstSheet="4" activeTab="8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<sst xmlns="http://schemas.openxmlformats.org/spreadsheetml/2006/main" count="1000" uniqueCount="423">
  <si>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</si>
  <si>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</si>
  <si>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</si>
  <si>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</si>
  <si>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</si>
  <si>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</si>
  <si>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</si>
  <si>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</si>
  <si>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</si>
  <si>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</si>
  <si>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</si>
  <si>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</si>
  <si>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</si>
  <si>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</si>
  <si>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</si>
  <si>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</si>
  <si>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</si>
  <si>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</si>
  <si>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</si>
  <si>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</si>
  <si>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</si>
  <si>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</si>
  <si>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</si>
  <si>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</si>
  <si>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</si>
  <si>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</si>
  <si>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</si>
  <si>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</si>
  <si>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</si>
  <si>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</si>
  <si>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</si>
  <si>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</si>
  <si>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</si>
  <si>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</si>
  <si>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</si>
  <si>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</si>
  <si>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</si>
  <si>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</si>
  <si>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</si>
  <si>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</si>
  <si>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</si>
  <si>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</si>
  <si>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</si>
  <si>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</si>
  <si>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</si>
  <si>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</si>
  <si>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</si>
  <si>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</si>
  <si>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</si>
  <si>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</si>
  <si>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</si>
  <si>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</si>
  <si>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</si>
  <si>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</si>
  <si>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</si>
  <si>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</si>
  <si>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</si>
  <si>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</si>
  <si>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</si>
  <si>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</si>
  <si>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</si>
  <si>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</si>
  <si>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</si>
  <si>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</si>
  <si>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</si>
  <si>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</si>
  <si>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</si>
  <si>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</si>
  <si>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</si>
  <si>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</si>
  <si>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</si>
  <si>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</si>
  <si>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</si>
  <si>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</si>
  <si>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</si>
  <si>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</si>
  <si>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</si>
  <si>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</si>
  <si>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</si>
  <si>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</si>
  <si>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</si>
  <si>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</si>
  <si>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</si>
  <si>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</si>
  <si>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</si>
  <si>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</si>
  <si>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</si>
  <si>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</si>
  <si>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</si>
  <si>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</si>
  <si>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</si>
  <si>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</si>
  <si>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</si>
  <si>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</si>
  <si>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</si>
  <si>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</si>
  <si>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</si>
  <si>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</si>
  <si>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</si>
  <si>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</si>
  <si>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</si>
  <si>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</si>
  <si>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</si>
  <si>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</si>
  <si>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</si>
  <si>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</si>
  <si>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</si>
  <si>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</si>
  <si>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</si>
  <si>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</si>
  <si>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</si>
  <si>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</si>
  <si>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</si>
  <si>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</si>
  <si>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</si>
  <si>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</si>
  <si>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</si>
  <si>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</si>
  <si>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</si>
  <si>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</si>
  <si>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</si>
  <si>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</si>
  <si>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</si>
  <si>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</si>
  <si>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</si>
  <si>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</si>
  <si>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</si>
  <si>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</si>
  <si>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</si>
  <si>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</si>
  <si>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</si>
  <si>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</si>
  <si>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</si>
  <si>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</si>
  <si>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</si>
  <si>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</si>
  <si>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</si>
  <si>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</si>
  <si>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</si>
  <si>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</si>
  <si>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</si>
  <si>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</si>
  <si>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</si>
  <si>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</si>
  <si>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</si>
  <si>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</si>
  <si>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</si>
  <si>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</si>
  <si>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</si>
  <si>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</si>
  <si>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</si>
  <si>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</si>
  <si>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</si>
  <si>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</si>
  <si>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</si>
  <si>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</si>
  <si>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</si>
  <si>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</si>
  <si>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</si>
  <si>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</si>
  <si>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</si>
  <si>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</si>
  <si>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</si>
  <si>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</si>
  <si>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</si>
  <si>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</si>
  <si>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</si>
  <si>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</si>
  <si>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</si>
  <si>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</si>
  <si>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</si>
  <si>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</si>
  <si>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</si>
  <si>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</si>
  <si>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</si>
  <si>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</si>
  <si>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</si>
  <si>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</si>
  <si>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</si>
  <si>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</si>
  <si>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</si>
  <si>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</si>
  <si>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</si>
  <si>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</si>
  <si>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</si>
  <si>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</si>
  <si>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</si>
  <si>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</si>
  <si>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</si>
  <si>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</si>
  <si>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</si>
  <si>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</si>
  <si>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</si>
  <si>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</si>
  <si>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</si>
  <si>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</si>
  <si>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</si>
  <si>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</si>
  <si>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</si>
  <si>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</si>
  <si>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</si>
  <si>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</si>
  <si>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</si>
  <si>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</si>
  <si>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</si>
  <si>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</si>
  <si>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</si>
  <si>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</si>
  <si>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</si>
  <si>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</si>
  <si>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</si>
  <si>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</si>
  <si>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</si>
  <si>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</si>
  <si>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</si>
  <si>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</si>
  <si>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P4-T014</t>
  </si>
  <si>
    <t>P4-T015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</si>
  <si>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</si>
  <si>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</si>
  <si>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</si>
  <si>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</si>
  <si>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</si>
  <si>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</si>
  <si>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</si>
  <si>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</si>
  <si>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</si>
  <si>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</si>
  <si>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</si>
  <si>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</si>
  <si>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</si>
  <si>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</si>
  <si>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</si>
  <si>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</si>
  <si>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</si>
  <si>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</si>
  <si>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</si>
  <si>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</si>
  <si>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</si>
  <si>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</si>
  <si>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</si>
  <si>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</si>
  <si>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</si>
  <si>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</si>
  <si>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</si>
  <si>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</si>
  <si>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</si>
  <si>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</si>
  <si>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</si>
  <si>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</si>
  <si>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</si>
  <si>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</si>
  <si>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</si>
  <si>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</si>
  <si>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</si>
  <si>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</si>
  <si>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</si>
  <si>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</si>
  <si>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</si>
  <si>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</si>
  <si>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</si>
  <si>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</si>
  <si>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</si>
  <si>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</si>
  <si>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</si>
  <si>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</si>
  <si>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</si>
  <si>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</si>
  <si>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</si>
  <si>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</si>
  <si>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</si>
  <si>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</si>
  <si>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</si>
  <si>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</si>
  <si>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</si>
  <si>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</si>
  <si>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</si>
  <si>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</si>
  <si>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</si>
  <si>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</si>
  <si>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</si>
  <si>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</si>
  <si>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</si>
  <si>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</si>
  <si>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</si>
  <si>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</si>
  <si>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</si>
  <si>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</si>
  <si>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</si>
  <si>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</si>
  <si>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</si>
  <si>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</si>
  <si>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</si>
  <si>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</si>
  <si>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</si>
  <si>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</si>
  <si>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</si>
  <si>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</si>
  <si>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</si>
  <si>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</si>
  <si>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</si>
  <si>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</si>
  <si>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</si>
  <si>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</si>
  <si>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</si>
  <si>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</si>
  <si>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</si>
  <si>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</si>
  <si>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</si>
  <si>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</si>
  <si>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</si>
  <si>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</si>
  <si>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</si>
  <si>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</si>
  <si>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</si>
  <si>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</si>
  <si>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</si>
  <si>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</si>
  <si>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</si>
  <si>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</si>
  <si>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</si>
  <si>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</si>
  <si>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</si>
  <si>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</si>
  <si>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</si>
  <si>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</si>
  <si>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</si>
  <si>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</si>
  <si>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</si>
  <si>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</si>
  <si>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</si>
  <si>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</si>
  <si>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</si>
  <si>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</si>
  <si>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</si>
  <si>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</si>
  <si>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</si>
  <si>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</si>
  <si>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</si>
  <si>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</si>
  <si>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</si>
  <si>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</si>
  <si>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</si>
  <si>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</si>
  <si>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</si>
  <si>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</si>
  <si>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</si>
  <si>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</si>
  <si>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</si>
  <si>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</si>
  <si>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</si>
  <si>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</si>
  <si>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</si>
  <si>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</si>
  <si>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</si>
  <si>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</si>
  <si>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</si>
  <si>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</si>
  <si>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</si>
  <si>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</si>
  <si>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</si>
  <si>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</si>
  <si>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</si>
  <si>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</si>
  <si>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</si>
  <si>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</si>
  <si>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</si>
  <si>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</si>
  <si>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</si>
  <si>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</si>
  <si>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</si>
  <si>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</si>
  <si>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</si>
  <si>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</si>
  <si>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</si>
  <si>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</si>
  <si>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</si>
  <si>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AWS (VPC, EC2, RDS, Lambda, S3, CloudFront, ALB, CloudWatch, Secrets Manager), Terraform, Python, FastAPI, PostgreSQL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</si>
  <si>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</si>
  <si>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</si>
  <si>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</si>
  <si>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</si>
  <si>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</si>
  <si>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</si>
  <si>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</si>
  <si>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</si>
  <si>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</si>
  <si>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</si>
  <si>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</si>
  <si>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</si>
  <si>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</si>
  <si>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Future Demos</t>
  </si>
  <si>
    <t>Furture Demos</t>
  </si>
  <si>
    <t>Later Enhancement items</t>
  </si>
  <si>
    <t>In progress</t>
  </si>
  <si>
    <t>8 Weeks (90-120 hours total)</t>
  </si>
  <si>
    <t>Phase 3</t>
  </si>
  <si>
    <t>API &amp; compute layer complete - 100%</t>
  </si>
  <si>
    <t>Multi-Modal Activity Tracking complete - 97%</t>
  </si>
  <si>
    <t>AWS Resource size limit</t>
  </si>
  <si>
    <t>Lambda Layers to separate dependencies</t>
  </si>
  <si>
    <t>Lambda size limit - optimization</t>
  </si>
  <si>
    <t>Resolved a few errors</t>
  </si>
  <si>
    <t>No AnkiDeck integration</t>
  </si>
  <si>
    <t>Manual Curated vocabulary</t>
  </si>
  <si>
    <t>Phase 4</t>
  </si>
  <si>
    <t>Task Set</t>
  </si>
  <si>
    <t>AnkiDeck API Integration to Seeded Vocabulary</t>
  </si>
  <si>
    <t>Create Vocubulary Seed Files</t>
  </si>
  <si>
    <t>Create Vocabulary Seeding Script</t>
  </si>
  <si>
    <t>Seed Vocabulary Database &amp; Verify Data Integrity</t>
  </si>
  <si>
    <t>UTF-8 encoding challenges</t>
  </si>
  <si>
    <t>Cancelled - pivot from AnkiDeck API</t>
  </si>
  <si>
    <t>UTC-8 Encoding</t>
  </si>
  <si>
    <t>B003</t>
  </si>
  <si>
    <t>1. Upload files to S3
2. SSM into EC2
3. Dowload files</t>
  </si>
  <si>
    <t>91.5 / 120</t>
  </si>
  <si>
    <t>53 (40%)</t>
  </si>
  <si>
    <t>80 (58%)</t>
  </si>
  <si>
    <t>Phase 5 - Monitoring</t>
  </si>
  <si>
    <t>MLOps Engineer Portfolio</t>
  </si>
  <si>
    <t>Delayed 4 weeks</t>
  </si>
  <si>
    <t>ML Integration - 100%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</si>
</sst>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  <fill>
      <patternFill patternType="solid">
        <fgColor rgb="FFFFEB9C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  <xf numFmtId="0" fontId="0" fillId="9" borderId="0" xfId="0" applyFill="1"/>
    <xf numFmtId="14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11" fillId="0" borderId="0" xfId="0" applyFont="1" applyBorder="1" applyAlignment="1">
      <alignment vertical="top"/>
    </xf>
    <xf numFmtId="0" fontId="0" fillId="0" borderId="1" xfId="0" applyBorder="1" applyAlignment="1">
      <alignment vertical="top"/>
    </xf>
    <xf numFmtId="14" fontId="0" fillId="0" borderId="1" xfId="0" applyNumberFormat="1" applyBorder="1" applyAlignment="1">
      <alignment vertical="top"/>
    </xf>
    <xf numFmtId="0" fontId="11" fillId="0" borderId="3" xfId="0" applyFont="1" applyBorder="1" applyAlignment="1">
      <alignment vertical="top" wrapText="1"/>
    </xf>
    <xf numFmtId="0" fontId="0" fillId="13" borderId="1" xfId="0" applyFill="1" applyBorder="1" applyAlignment="1">
      <alignment horizontal="center" vertical="center"/>
    </xf>
    <xf numFmtId="0" fontId="0" fillId="0" borderId="0" xfId="0" applyBorder="1"/>
    <xf numFmtId="14" fontId="0" fillId="0" borderId="2" xfId="0" applyNumberFormat="1" applyBorder="1" applyAlignment="1">
      <alignment horizontal="left"/>
    </xf>
    <xf numFmtId="0" fontId="5" fillId="0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8" workbookViewId="0">
      <selection activeCell="B9" sqref="B9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6" t="s">
        <v>0</v>
      </c>
      <c r="B1" s="35"/>
      <c r="C1" s="35"/>
      <c r="D1" s="35"/>
      <c r="E1" s="35"/>
      <c r="F1" s="35"/>
      <c r="G1" s="35"/>
      <c r="H1" s="35"/>
    </row>
    <row r="3" spans="1:8" x14ac:dyDescent="0.3">
      <c r="A3" s="1" t="s">
        <v>1</v>
      </c>
      <c r="B3" s="35" t="s">
        <v>2</v>
      </c>
      <c r="C3" s="35"/>
      <c r="D3" s="35"/>
      <c r="E3" s="35"/>
      <c r="F3" s="35"/>
      <c r="G3" s="35"/>
      <c r="H3" s="35"/>
    </row>
    <row r="4" spans="1:8" x14ac:dyDescent="0.3">
      <c r="A4" s="1" t="s">
        <v>3</v>
      </c>
      <c r="B4" s="35" t="s">
        <v>420</v>
      </c>
      <c r="C4" s="35"/>
      <c r="D4" s="35"/>
      <c r="E4" s="35"/>
      <c r="F4" s="35"/>
      <c r="G4" s="35"/>
      <c r="H4" s="35"/>
    </row>
    <row r="5" spans="1:8" x14ac:dyDescent="0.3">
      <c r="A5" s="1" t="s">
        <v>4</v>
      </c>
      <c r="B5" s="35" t="s">
        <v>395</v>
      </c>
      <c r="C5" s="35"/>
      <c r="D5" s="35"/>
      <c r="E5" s="35"/>
      <c r="F5" s="35"/>
      <c r="G5" s="35"/>
      <c r="H5" s="35"/>
    </row>
    <row r="6" spans="1:8" x14ac:dyDescent="0.3">
      <c r="A6" s="1" t="s">
        <v>5</v>
      </c>
      <c r="B6" s="35" t="s">
        <v>6</v>
      </c>
      <c r="C6" s="35"/>
      <c r="D6" s="35"/>
      <c r="E6" s="35"/>
      <c r="F6" s="35"/>
      <c r="G6" s="35"/>
      <c r="H6" s="35"/>
    </row>
    <row r="7" spans="1:8" x14ac:dyDescent="0.3">
      <c r="A7" s="1" t="s">
        <v>7</v>
      </c>
      <c r="B7" s="35" t="s">
        <v>419</v>
      </c>
      <c r="C7" s="35"/>
      <c r="D7" s="35"/>
      <c r="E7" s="35"/>
      <c r="F7" s="35"/>
      <c r="G7" s="35"/>
      <c r="H7" s="35"/>
    </row>
    <row r="8" spans="1:8" x14ac:dyDescent="0.3">
      <c r="A8" s="1" t="s">
        <v>8</v>
      </c>
      <c r="B8" s="35" t="s">
        <v>421</v>
      </c>
      <c r="C8" s="35"/>
      <c r="D8" s="35"/>
      <c r="E8" s="35"/>
      <c r="F8" s="35"/>
      <c r="G8" s="35"/>
      <c r="H8" s="35"/>
    </row>
    <row r="9" spans="1:8" x14ac:dyDescent="0.3">
      <c r="A9" s="1"/>
    </row>
    <row r="10" spans="1:8" x14ac:dyDescent="0.3">
      <c r="A10" s="1" t="s">
        <v>9</v>
      </c>
      <c r="B10" s="35" t="s">
        <v>377</v>
      </c>
      <c r="C10" s="35"/>
      <c r="D10" s="35"/>
      <c r="E10" s="35"/>
      <c r="F10" s="35"/>
      <c r="G10" s="35"/>
      <c r="H10" s="35"/>
    </row>
    <row r="13" spans="1:8" ht="15.6" customHeight="1" x14ac:dyDescent="0.3">
      <c r="A13" s="34" t="s">
        <v>10</v>
      </c>
      <c r="B13" s="35"/>
      <c r="C13" s="35"/>
      <c r="D13" s="35"/>
      <c r="E13" s="35"/>
      <c r="F13" s="35"/>
      <c r="G13" s="35"/>
      <c r="H13" s="35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372</v>
      </c>
    </row>
    <row r="17" spans="1:8" x14ac:dyDescent="0.3">
      <c r="A17" s="4">
        <v>3</v>
      </c>
      <c r="B17" s="5" t="s">
        <v>28</v>
      </c>
      <c r="C17" s="29" t="s">
        <v>20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 t="s">
        <v>393</v>
      </c>
    </row>
    <row r="18" spans="1:8" x14ac:dyDescent="0.3">
      <c r="A18" s="4">
        <v>4</v>
      </c>
      <c r="B18" s="5" t="s">
        <v>32</v>
      </c>
      <c r="C18" s="29" t="s">
        <v>20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1</v>
      </c>
      <c r="G18" s="4">
        <f>COUNTIF('Phase 4 - ML Integration'!E:E,"Blocked")</f>
        <v>0</v>
      </c>
      <c r="H18" s="4" t="s">
        <v>401</v>
      </c>
    </row>
    <row r="19" spans="1:8" x14ac:dyDescent="0.3">
      <c r="A19" s="4">
        <v>5</v>
      </c>
      <c r="B19" s="5" t="s">
        <v>35</v>
      </c>
      <c r="C19" s="15" t="s">
        <v>394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418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417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416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53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102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20" activePane="bottomLeft" state="frozen"/>
      <selection pane="bottomLeft" activeCell="C11" sqref="C11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149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54</v>
      </c>
      <c r="B2" s="28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20</v>
      </c>
      <c r="F11" s="11" t="s">
        <v>67</v>
      </c>
      <c r="G11" s="10">
        <v>1.5</v>
      </c>
      <c r="H11" s="10">
        <v>0</v>
      </c>
      <c r="I11" s="10"/>
      <c r="J11" s="10" t="s">
        <v>378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379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380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381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382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383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20</v>
      </c>
      <c r="F19" s="11" t="s">
        <v>67</v>
      </c>
      <c r="G19" s="10">
        <v>2</v>
      </c>
      <c r="H19" s="10">
        <v>2.5</v>
      </c>
      <c r="I19" s="10" t="s">
        <v>389</v>
      </c>
      <c r="J19" s="10" t="s">
        <v>390</v>
      </c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20</v>
      </c>
      <c r="F20" s="11" t="s">
        <v>67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20</v>
      </c>
      <c r="F21" s="11" t="s">
        <v>67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20</v>
      </c>
      <c r="F22" s="11" t="s">
        <v>67</v>
      </c>
      <c r="G22" s="10">
        <v>2</v>
      </c>
      <c r="H22" s="10">
        <v>0</v>
      </c>
      <c r="I22" s="10"/>
      <c r="J22" s="10" t="s">
        <v>391</v>
      </c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20</v>
      </c>
      <c r="F23" s="4" t="s">
        <v>94</v>
      </c>
      <c r="G23" s="10">
        <v>1</v>
      </c>
      <c r="H23" s="10">
        <v>0</v>
      </c>
      <c r="I23" s="10"/>
      <c r="J23" s="10" t="s">
        <v>392</v>
      </c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20</v>
      </c>
      <c r="F24" s="4" t="s">
        <v>94</v>
      </c>
      <c r="G24" s="10">
        <v>1.5</v>
      </c>
      <c r="H24" s="10">
        <v>0</v>
      </c>
      <c r="I24" s="10"/>
      <c r="J24" s="10" t="s">
        <v>392</v>
      </c>
    </row>
    <row r="25" spans="1:10" x14ac:dyDescent="0.3">
      <c r="A25" s="10" t="s">
        <v>384</v>
      </c>
      <c r="B25" s="10" t="s">
        <v>92</v>
      </c>
      <c r="C25" s="10" t="s">
        <v>181</v>
      </c>
      <c r="D25" s="10" t="s">
        <v>66</v>
      </c>
      <c r="E25" s="7" t="s">
        <v>20</v>
      </c>
      <c r="F25" s="4" t="s">
        <v>94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385</v>
      </c>
      <c r="B26" s="10" t="s">
        <v>92</v>
      </c>
      <c r="C26" s="10" t="s">
        <v>183</v>
      </c>
      <c r="D26" s="10" t="s">
        <v>66</v>
      </c>
      <c r="E26" s="7" t="s">
        <v>20</v>
      </c>
      <c r="F26" s="4" t="s">
        <v>94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386</v>
      </c>
      <c r="B27" s="10" t="s">
        <v>92</v>
      </c>
      <c r="C27" s="10" t="s">
        <v>185</v>
      </c>
      <c r="D27" s="10" t="s">
        <v>66</v>
      </c>
      <c r="E27" s="7" t="s">
        <v>20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387</v>
      </c>
      <c r="B28" s="10" t="s">
        <v>92</v>
      </c>
      <c r="C28" s="10" t="s">
        <v>187</v>
      </c>
      <c r="D28" s="10" t="s">
        <v>66</v>
      </c>
      <c r="E28" s="7" t="s">
        <v>20</v>
      </c>
      <c r="F28" s="11" t="s">
        <v>67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388</v>
      </c>
      <c r="B29" s="10" t="s">
        <v>92</v>
      </c>
      <c r="C29" s="10" t="s">
        <v>189</v>
      </c>
      <c r="D29" s="10" t="s">
        <v>66</v>
      </c>
      <c r="E29" s="7" t="s">
        <v>20</v>
      </c>
      <c r="F29" s="4" t="s">
        <v>101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activeCell="B2" sqref="B2"/>
    </sheetView>
  </sheetViews>
  <sheetFormatPr defaultRowHeight="14.4" x14ac:dyDescent="0.3"/>
  <cols>
    <col min="1" max="1" width="10" customWidth="1"/>
    <col min="2" max="2" width="9.777343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190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54</v>
      </c>
      <c r="B2" s="28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20</v>
      </c>
      <c r="F5" s="11" t="s">
        <v>67</v>
      </c>
      <c r="G5" s="10">
        <v>2</v>
      </c>
      <c r="H5" s="10">
        <v>2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20</v>
      </c>
      <c r="F6" s="11" t="s">
        <v>67</v>
      </c>
      <c r="G6" s="10">
        <v>1.5</v>
      </c>
      <c r="H6" s="10">
        <v>1.5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20</v>
      </c>
      <c r="F8" s="11" t="s">
        <v>67</v>
      </c>
      <c r="G8" s="10">
        <v>0.5</v>
      </c>
      <c r="H8" s="10">
        <v>0.5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20</v>
      </c>
      <c r="F9" s="11" t="s">
        <v>67</v>
      </c>
      <c r="G9" s="10">
        <v>2</v>
      </c>
      <c r="H9" s="10">
        <v>2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20</v>
      </c>
      <c r="F10" s="11" t="s">
        <v>67</v>
      </c>
      <c r="G10" s="10">
        <v>1.5</v>
      </c>
      <c r="H10" s="10">
        <v>1.5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4</v>
      </c>
      <c r="I12" s="10" t="s">
        <v>399</v>
      </c>
      <c r="J12" s="10" t="s">
        <v>400</v>
      </c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20</v>
      </c>
      <c r="F13" s="11" t="s">
        <v>67</v>
      </c>
      <c r="G13" s="10">
        <v>2</v>
      </c>
      <c r="H13" s="10">
        <v>2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20</v>
      </c>
      <c r="F14" s="11" t="s">
        <v>67</v>
      </c>
      <c r="G14" s="10">
        <v>1</v>
      </c>
      <c r="H14" s="10">
        <v>1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20</v>
      </c>
      <c r="F15" s="11" t="s">
        <v>67</v>
      </c>
      <c r="G15" s="10">
        <v>1</v>
      </c>
      <c r="H15" s="10">
        <v>2</v>
      </c>
      <c r="I15" s="10"/>
      <c r="J15" s="10" t="s">
        <v>402</v>
      </c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20</v>
      </c>
      <c r="F16" s="4" t="s">
        <v>94</v>
      </c>
      <c r="G16" s="10">
        <v>1</v>
      </c>
      <c r="H16" s="10">
        <v>2</v>
      </c>
      <c r="I16" s="10" t="s">
        <v>403</v>
      </c>
      <c r="J16" s="10" t="s">
        <v>404</v>
      </c>
    </row>
    <row r="17" spans="1:10" x14ac:dyDescent="0.3">
      <c r="A17" s="10" t="s">
        <v>215</v>
      </c>
      <c r="B17" s="10" t="s">
        <v>87</v>
      </c>
      <c r="C17" s="10" t="s">
        <v>408</v>
      </c>
      <c r="D17" s="10" t="s">
        <v>66</v>
      </c>
      <c r="E17" s="7" t="s">
        <v>20</v>
      </c>
      <c r="F17" s="11" t="s">
        <v>67</v>
      </c>
      <c r="G17" s="10">
        <v>2</v>
      </c>
      <c r="H17" s="10">
        <v>3</v>
      </c>
      <c r="I17" s="10"/>
      <c r="J17" s="10"/>
    </row>
    <row r="18" spans="1:10" x14ac:dyDescent="0.3">
      <c r="A18" s="10" t="s">
        <v>216</v>
      </c>
      <c r="B18" s="10" t="s">
        <v>87</v>
      </c>
      <c r="C18" s="10" t="s">
        <v>409</v>
      </c>
      <c r="D18" s="10" t="s">
        <v>66</v>
      </c>
      <c r="E18" s="7" t="s">
        <v>20</v>
      </c>
      <c r="F18" s="11" t="s">
        <v>67</v>
      </c>
      <c r="G18" s="10">
        <v>1.5</v>
      </c>
      <c r="H18" s="10">
        <v>1.5</v>
      </c>
      <c r="I18" s="10"/>
      <c r="J18" s="10"/>
    </row>
    <row r="19" spans="1:10" x14ac:dyDescent="0.3">
      <c r="A19" s="10" t="s">
        <v>217</v>
      </c>
      <c r="B19" s="10" t="s">
        <v>87</v>
      </c>
      <c r="C19" s="10" t="s">
        <v>410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2.5</v>
      </c>
      <c r="I19" s="10" t="s">
        <v>411</v>
      </c>
      <c r="J19" s="10"/>
    </row>
    <row r="20" spans="1:10" x14ac:dyDescent="0.3">
      <c r="A20" s="10" t="s">
        <v>218</v>
      </c>
      <c r="B20" s="10" t="s">
        <v>92</v>
      </c>
      <c r="C20" s="10" t="s">
        <v>219</v>
      </c>
      <c r="D20" s="10" t="s">
        <v>66</v>
      </c>
      <c r="E20" s="7" t="s">
        <v>20</v>
      </c>
      <c r="F20" s="11" t="s">
        <v>67</v>
      </c>
      <c r="G20" s="10">
        <v>1.5</v>
      </c>
      <c r="H20" s="10">
        <v>0</v>
      </c>
      <c r="I20" s="10"/>
      <c r="J20" s="10" t="s">
        <v>412</v>
      </c>
    </row>
    <row r="21" spans="1:10" x14ac:dyDescent="0.3">
      <c r="A21" s="10" t="s">
        <v>220</v>
      </c>
      <c r="B21" s="10" t="s">
        <v>92</v>
      </c>
      <c r="C21" s="10" t="s">
        <v>221</v>
      </c>
      <c r="D21" s="10" t="s">
        <v>66</v>
      </c>
      <c r="E21" s="7" t="s">
        <v>20</v>
      </c>
      <c r="F21" s="11" t="s">
        <v>67</v>
      </c>
      <c r="G21" s="10">
        <v>1</v>
      </c>
      <c r="H21" s="10">
        <v>0</v>
      </c>
      <c r="I21" s="10"/>
      <c r="J21" s="10" t="s">
        <v>412</v>
      </c>
    </row>
    <row r="22" spans="1:10" x14ac:dyDescent="0.3">
      <c r="A22" s="10" t="s">
        <v>222</v>
      </c>
      <c r="B22" s="10" t="s">
        <v>92</v>
      </c>
      <c r="C22" s="10" t="s">
        <v>223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224</v>
      </c>
      <c r="B23" s="10" t="s">
        <v>92</v>
      </c>
      <c r="C23" s="10" t="s">
        <v>225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1.5</v>
      </c>
      <c r="I23" s="10"/>
      <c r="J23" s="10"/>
    </row>
    <row r="24" spans="1:10" x14ac:dyDescent="0.3">
      <c r="A24" s="10" t="s">
        <v>226</v>
      </c>
      <c r="B24" s="10" t="s">
        <v>92</v>
      </c>
      <c r="C24" s="10" t="s">
        <v>227</v>
      </c>
      <c r="D24" s="10" t="s">
        <v>66</v>
      </c>
      <c r="E24" s="7" t="s">
        <v>20</v>
      </c>
      <c r="F24" s="4" t="s">
        <v>101</v>
      </c>
      <c r="G24" s="10">
        <v>0.5</v>
      </c>
      <c r="H24" s="10">
        <v>0.5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activeCell="C26" sqref="C26"/>
    </sheetView>
  </sheetViews>
  <sheetFormatPr defaultRowHeight="14.4" x14ac:dyDescent="0.3"/>
  <cols>
    <col min="1" max="1" width="10" customWidth="1"/>
    <col min="2" max="2" width="10.44140625" bestFit="1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228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54</v>
      </c>
      <c r="B2" s="30" t="s">
        <v>394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229</v>
      </c>
      <c r="B5" s="10" t="s">
        <v>64</v>
      </c>
      <c r="C5" s="10" t="s">
        <v>230</v>
      </c>
      <c r="D5" s="10" t="s">
        <v>66</v>
      </c>
      <c r="E5" s="7" t="s">
        <v>25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231</v>
      </c>
      <c r="B6" s="10" t="s">
        <v>64</v>
      </c>
      <c r="C6" s="10" t="s">
        <v>232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233</v>
      </c>
      <c r="B7" s="10" t="s">
        <v>64</v>
      </c>
      <c r="C7" s="10" t="s">
        <v>234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235</v>
      </c>
      <c r="B8" s="10" t="s">
        <v>64</v>
      </c>
      <c r="C8" s="10" t="s">
        <v>236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237</v>
      </c>
      <c r="B9" s="10" t="s">
        <v>75</v>
      </c>
      <c r="C9" s="10" t="s">
        <v>238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239</v>
      </c>
      <c r="B10" s="10" t="s">
        <v>75</v>
      </c>
      <c r="C10" s="10" t="s">
        <v>240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241</v>
      </c>
      <c r="B11" s="10" t="s">
        <v>83</v>
      </c>
      <c r="C11" s="10" t="s">
        <v>242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243</v>
      </c>
      <c r="B12" s="10" t="s">
        <v>83</v>
      </c>
      <c r="C12" s="10" t="s">
        <v>244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245</v>
      </c>
      <c r="B13" s="10" t="s">
        <v>83</v>
      </c>
      <c r="C13" s="10" t="s">
        <v>246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247</v>
      </c>
      <c r="B14" s="10" t="s">
        <v>83</v>
      </c>
      <c r="C14" s="10" t="s">
        <v>248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249</v>
      </c>
      <c r="B15" s="10" t="s">
        <v>87</v>
      </c>
      <c r="C15" s="10" t="s">
        <v>250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251</v>
      </c>
      <c r="B16" s="10" t="s">
        <v>87</v>
      </c>
      <c r="C16" s="10" t="s">
        <v>252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253</v>
      </c>
      <c r="B17" s="10" t="s">
        <v>87</v>
      </c>
      <c r="C17" s="10" t="s">
        <v>254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255</v>
      </c>
      <c r="B18" s="10" t="s">
        <v>87</v>
      </c>
      <c r="C18" s="10" t="s">
        <v>256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257</v>
      </c>
      <c r="B19" s="10" t="s">
        <v>87</v>
      </c>
      <c r="C19" s="10" t="s">
        <v>258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259</v>
      </c>
      <c r="B20" s="10" t="s">
        <v>92</v>
      </c>
      <c r="C20" s="10" t="s">
        <v>260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261</v>
      </c>
      <c r="B21" s="10" t="s">
        <v>92</v>
      </c>
      <c r="C21" s="10" t="s">
        <v>262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263</v>
      </c>
      <c r="B22" s="10" t="s">
        <v>92</v>
      </c>
      <c r="C22" s="10" t="s">
        <v>264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265</v>
      </c>
      <c r="B23" s="10" t="s">
        <v>92</v>
      </c>
      <c r="C23" s="10" t="s">
        <v>266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267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268</v>
      </c>
      <c r="B5" s="10" t="s">
        <v>64</v>
      </c>
      <c r="C5" s="10" t="s">
        <v>269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270</v>
      </c>
      <c r="B6" s="10" t="s">
        <v>64</v>
      </c>
      <c r="C6" s="10" t="s">
        <v>271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272</v>
      </c>
      <c r="B7" s="10" t="s">
        <v>64</v>
      </c>
      <c r="C7" s="10" t="s">
        <v>273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274</v>
      </c>
      <c r="B8" s="10" t="s">
        <v>64</v>
      </c>
      <c r="C8" s="10" t="s">
        <v>275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276</v>
      </c>
      <c r="B9" s="10" t="s">
        <v>75</v>
      </c>
      <c r="C9" s="10" t="s">
        <v>277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278</v>
      </c>
      <c r="B10" s="10" t="s">
        <v>75</v>
      </c>
      <c r="C10" s="10" t="s">
        <v>279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280</v>
      </c>
      <c r="B11" s="10" t="s">
        <v>75</v>
      </c>
      <c r="C11" s="10" t="s">
        <v>281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282</v>
      </c>
      <c r="B12" s="10" t="s">
        <v>83</v>
      </c>
      <c r="C12" s="10" t="s">
        <v>283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284</v>
      </c>
      <c r="B13" s="10" t="s">
        <v>83</v>
      </c>
      <c r="C13" s="10" t="s">
        <v>285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286</v>
      </c>
      <c r="B14" s="10" t="s">
        <v>83</v>
      </c>
      <c r="C14" s="10" t="s">
        <v>287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288</v>
      </c>
      <c r="B15" s="10" t="s">
        <v>83</v>
      </c>
      <c r="C15" s="10" t="s">
        <v>289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290</v>
      </c>
      <c r="B16" s="10" t="s">
        <v>87</v>
      </c>
      <c r="C16" s="10" t="s">
        <v>291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292</v>
      </c>
      <c r="B17" s="10" t="s">
        <v>87</v>
      </c>
      <c r="C17" s="10" t="s">
        <v>293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294</v>
      </c>
      <c r="B18" s="10" t="s">
        <v>87</v>
      </c>
      <c r="C18" s="10" t="s">
        <v>295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296</v>
      </c>
      <c r="B19" s="10" t="s">
        <v>87</v>
      </c>
      <c r="C19" s="10" t="s">
        <v>297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298</v>
      </c>
      <c r="B20" s="10" t="s">
        <v>92</v>
      </c>
      <c r="C20" s="10" t="s">
        <v>299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300</v>
      </c>
      <c r="B21" s="10" t="s">
        <v>92</v>
      </c>
      <c r="C21" s="10" t="s">
        <v>301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302</v>
      </c>
      <c r="B22" s="10" t="s">
        <v>92</v>
      </c>
      <c r="C22" s="10" t="s">
        <v>303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304</v>
      </c>
      <c r="B23" s="10" t="s">
        <v>92</v>
      </c>
      <c r="C23" s="10" t="s">
        <v>305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306</v>
      </c>
      <c r="B24" s="10" t="s">
        <v>92</v>
      </c>
      <c r="C24" s="10" t="s">
        <v>307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G9" sqref="G9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8" t="s">
        <v>308</v>
      </c>
      <c r="B1" s="35"/>
      <c r="C1" s="35"/>
      <c r="D1" s="35"/>
      <c r="E1" s="35"/>
      <c r="F1" s="35"/>
      <c r="G1" s="35"/>
      <c r="H1" s="35"/>
      <c r="I1" s="35"/>
    </row>
    <row r="3" spans="1:9" x14ac:dyDescent="0.3">
      <c r="A3" s="3" t="s">
        <v>309</v>
      </c>
      <c r="B3" s="3" t="s">
        <v>11</v>
      </c>
      <c r="C3" s="3" t="s">
        <v>55</v>
      </c>
      <c r="D3" s="3" t="s">
        <v>12</v>
      </c>
      <c r="E3" s="3" t="s">
        <v>310</v>
      </c>
      <c r="F3" s="3" t="s">
        <v>13</v>
      </c>
      <c r="G3" s="3" t="s">
        <v>58</v>
      </c>
      <c r="H3" s="3" t="s">
        <v>311</v>
      </c>
      <c r="I3" s="3" t="s">
        <v>312</v>
      </c>
    </row>
    <row r="4" spans="1:9" ht="79.95" customHeight="1" x14ac:dyDescent="0.3">
      <c r="A4" s="17" t="s">
        <v>313</v>
      </c>
      <c r="B4" s="17" t="s">
        <v>314</v>
      </c>
      <c r="C4" s="17" t="s">
        <v>109</v>
      </c>
      <c r="D4" s="17" t="s">
        <v>315</v>
      </c>
      <c r="E4" s="18" t="s">
        <v>67</v>
      </c>
      <c r="F4" s="17" t="s">
        <v>319</v>
      </c>
      <c r="G4" s="17" t="s">
        <v>66</v>
      </c>
      <c r="H4" s="17" t="s">
        <v>316</v>
      </c>
      <c r="I4" s="19">
        <v>45974</v>
      </c>
    </row>
    <row r="5" spans="1:9" s="40" customFormat="1" ht="69" x14ac:dyDescent="0.3">
      <c r="A5" s="20" t="s">
        <v>317</v>
      </c>
      <c r="B5" s="20" t="s">
        <v>314</v>
      </c>
      <c r="C5" s="20" t="s">
        <v>113</v>
      </c>
      <c r="D5" s="20" t="s">
        <v>318</v>
      </c>
      <c r="E5" s="23" t="s">
        <v>67</v>
      </c>
      <c r="F5" s="20" t="s">
        <v>319</v>
      </c>
      <c r="G5" s="20" t="s">
        <v>66</v>
      </c>
      <c r="H5" s="21" t="s">
        <v>320</v>
      </c>
      <c r="I5" s="22">
        <v>45975</v>
      </c>
    </row>
    <row r="6" spans="1:9" ht="41.4" x14ac:dyDescent="0.3">
      <c r="A6" s="41" t="s">
        <v>414</v>
      </c>
      <c r="B6" s="41" t="s">
        <v>405</v>
      </c>
      <c r="C6" s="41" t="s">
        <v>217</v>
      </c>
      <c r="D6" s="41" t="s">
        <v>413</v>
      </c>
      <c r="E6" s="44" t="s">
        <v>94</v>
      </c>
      <c r="F6" s="41" t="s">
        <v>319</v>
      </c>
      <c r="G6" s="41" t="s">
        <v>66</v>
      </c>
      <c r="H6" s="43" t="s">
        <v>415</v>
      </c>
      <c r="I6" s="42">
        <v>46017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"/>
  <sheetViews>
    <sheetView tabSelected="1" workbookViewId="0">
      <selection activeCell="E19" sqref="E19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7" t="s">
        <v>321</v>
      </c>
      <c r="B1" s="35"/>
      <c r="C1" s="35"/>
      <c r="D1" s="35"/>
      <c r="E1" s="35"/>
      <c r="F1" s="35"/>
    </row>
    <row r="3" spans="1:6" x14ac:dyDescent="0.3">
      <c r="A3" s="3" t="s">
        <v>322</v>
      </c>
      <c r="B3" s="3" t="s">
        <v>323</v>
      </c>
      <c r="C3" s="3" t="s">
        <v>324</v>
      </c>
      <c r="D3" s="3" t="s">
        <v>325</v>
      </c>
      <c r="E3" s="3" t="s">
        <v>12</v>
      </c>
      <c r="F3" s="3" t="s">
        <v>310</v>
      </c>
    </row>
    <row r="4" spans="1:6" x14ac:dyDescent="0.3">
      <c r="A4" s="24">
        <v>45967</v>
      </c>
      <c r="B4" s="14" t="s">
        <v>66</v>
      </c>
      <c r="C4" s="14" t="s">
        <v>373</v>
      </c>
      <c r="D4" s="14" t="s">
        <v>374</v>
      </c>
      <c r="E4" s="14" t="s">
        <v>375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314</v>
      </c>
      <c r="D5" s="10" t="s">
        <v>326</v>
      </c>
      <c r="E5" s="10" t="s">
        <v>327</v>
      </c>
      <c r="F5" s="10" t="s">
        <v>67</v>
      </c>
    </row>
    <row r="6" spans="1:6" x14ac:dyDescent="0.3">
      <c r="A6" s="31">
        <v>45975</v>
      </c>
      <c r="B6" s="32" t="s">
        <v>66</v>
      </c>
      <c r="C6" s="32" t="s">
        <v>314</v>
      </c>
      <c r="D6" s="32" t="s">
        <v>326</v>
      </c>
      <c r="E6" s="32" t="s">
        <v>376</v>
      </c>
      <c r="F6" s="32" t="s">
        <v>67</v>
      </c>
    </row>
    <row r="7" spans="1:6" s="45" customFormat="1" x14ac:dyDescent="0.3">
      <c r="A7" s="33">
        <v>45987</v>
      </c>
      <c r="B7" s="10" t="s">
        <v>66</v>
      </c>
      <c r="C7" s="10" t="s">
        <v>314</v>
      </c>
      <c r="D7" s="10" t="s">
        <v>374</v>
      </c>
      <c r="E7" s="10" t="s">
        <v>397</v>
      </c>
      <c r="F7" s="10" t="s">
        <v>67</v>
      </c>
    </row>
    <row r="8" spans="1:6" s="45" customFormat="1" x14ac:dyDescent="0.3">
      <c r="A8" s="33">
        <v>45998</v>
      </c>
      <c r="B8" s="10" t="s">
        <v>66</v>
      </c>
      <c r="C8" s="10" t="s">
        <v>396</v>
      </c>
      <c r="D8" s="10" t="s">
        <v>374</v>
      </c>
      <c r="E8" s="10" t="s">
        <v>398</v>
      </c>
      <c r="F8" s="10" t="s">
        <v>94</v>
      </c>
    </row>
    <row r="9" spans="1:6" s="45" customFormat="1" x14ac:dyDescent="0.3">
      <c r="A9" s="46">
        <v>46006</v>
      </c>
      <c r="B9" s="47" t="s">
        <v>66</v>
      </c>
      <c r="C9" s="47" t="s">
        <v>405</v>
      </c>
      <c r="D9" s="47" t="s">
        <v>406</v>
      </c>
      <c r="E9" s="47" t="s">
        <v>407</v>
      </c>
      <c r="F9" s="47" t="s">
        <v>94</v>
      </c>
    </row>
    <row r="10" spans="1:6" s="45" customFormat="1" x14ac:dyDescent="0.3">
      <c r="A10" s="33">
        <v>46021</v>
      </c>
      <c r="B10" s="39" t="s">
        <v>66</v>
      </c>
      <c r="C10" s="39" t="s">
        <v>405</v>
      </c>
      <c r="D10" s="39" t="s">
        <v>374</v>
      </c>
      <c r="E10" s="39" t="s">
        <v>422</v>
      </c>
      <c r="F10" s="39" t="s">
        <v>67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7" t="s">
        <v>328</v>
      </c>
      <c r="B1" s="35"/>
      <c r="C1" s="35"/>
      <c r="D1" s="35"/>
      <c r="E1" s="35"/>
      <c r="F1" s="35"/>
    </row>
    <row r="4" spans="1:6" ht="15.6" customHeight="1" x14ac:dyDescent="0.3">
      <c r="A4" s="34" t="s">
        <v>329</v>
      </c>
      <c r="B4" s="35"/>
      <c r="C4" s="35"/>
      <c r="D4" s="35"/>
      <c r="E4" s="35"/>
      <c r="F4" s="35"/>
    </row>
    <row r="5" spans="1:6" x14ac:dyDescent="0.3">
      <c r="A5" s="1" t="s">
        <v>330</v>
      </c>
      <c r="B5" t="s">
        <v>331</v>
      </c>
    </row>
    <row r="6" spans="1:6" x14ac:dyDescent="0.3">
      <c r="A6" s="1" t="s">
        <v>332</v>
      </c>
      <c r="B6" t="s">
        <v>333</v>
      </c>
    </row>
    <row r="7" spans="1:6" x14ac:dyDescent="0.3">
      <c r="A7" s="1" t="s">
        <v>334</v>
      </c>
      <c r="B7" t="s">
        <v>335</v>
      </c>
    </row>
    <row r="8" spans="1:6" x14ac:dyDescent="0.3">
      <c r="A8" s="1" t="s">
        <v>336</v>
      </c>
      <c r="B8" t="s">
        <v>337</v>
      </c>
    </row>
    <row r="10" spans="1:6" ht="15.6" customHeight="1" x14ac:dyDescent="0.3">
      <c r="A10" s="34" t="s">
        <v>338</v>
      </c>
      <c r="B10" s="35"/>
      <c r="C10" s="35"/>
      <c r="D10" s="35"/>
      <c r="E10" s="35"/>
      <c r="F10" s="35"/>
    </row>
    <row r="11" spans="1:6" x14ac:dyDescent="0.3">
      <c r="A11" s="1" t="s">
        <v>339</v>
      </c>
      <c r="B11" t="s">
        <v>340</v>
      </c>
    </row>
    <row r="12" spans="1:6" x14ac:dyDescent="0.3">
      <c r="A12" s="1" t="s">
        <v>341</v>
      </c>
      <c r="B12" t="s">
        <v>342</v>
      </c>
    </row>
    <row r="13" spans="1:6" x14ac:dyDescent="0.3">
      <c r="A13" s="1" t="s">
        <v>343</v>
      </c>
      <c r="B13" t="s">
        <v>344</v>
      </c>
    </row>
    <row r="14" spans="1:6" x14ac:dyDescent="0.3">
      <c r="A14" s="1" t="s">
        <v>345</v>
      </c>
      <c r="B14" t="s">
        <v>346</v>
      </c>
    </row>
    <row r="16" spans="1:6" ht="15.6" customHeight="1" x14ac:dyDescent="0.3">
      <c r="A16" s="34" t="s">
        <v>347</v>
      </c>
      <c r="B16" s="35"/>
      <c r="C16" s="35"/>
      <c r="D16" s="35"/>
      <c r="E16" s="35"/>
      <c r="F16" s="35"/>
    </row>
    <row r="17" spans="1:6" x14ac:dyDescent="0.3">
      <c r="A17" s="1" t="s">
        <v>348</v>
      </c>
      <c r="B17" t="s">
        <v>349</v>
      </c>
    </row>
    <row r="18" spans="1:6" x14ac:dyDescent="0.3">
      <c r="A18" s="1" t="s">
        <v>350</v>
      </c>
      <c r="B18" t="s">
        <v>351</v>
      </c>
    </row>
    <row r="19" spans="1:6" x14ac:dyDescent="0.3">
      <c r="A19" s="1" t="s">
        <v>352</v>
      </c>
      <c r="B19" t="s">
        <v>353</v>
      </c>
    </row>
    <row r="20" spans="1:6" x14ac:dyDescent="0.3">
      <c r="A20" s="1" t="s">
        <v>354</v>
      </c>
      <c r="B20" t="s">
        <v>355</v>
      </c>
    </row>
    <row r="22" spans="1:6" ht="15.6" customHeight="1" x14ac:dyDescent="0.3">
      <c r="A22" s="34" t="s">
        <v>356</v>
      </c>
      <c r="B22" s="35"/>
      <c r="C22" s="35"/>
      <c r="D22" s="35"/>
      <c r="E22" s="35"/>
      <c r="F22" s="35"/>
    </row>
    <row r="23" spans="1:6" x14ac:dyDescent="0.3">
      <c r="A23" s="1" t="s">
        <v>357</v>
      </c>
      <c r="B23" t="s">
        <v>358</v>
      </c>
    </row>
    <row r="24" spans="1:6" x14ac:dyDescent="0.3">
      <c r="A24" s="1" t="s">
        <v>359</v>
      </c>
      <c r="B24" t="s">
        <v>360</v>
      </c>
    </row>
    <row r="25" spans="1:6" x14ac:dyDescent="0.3">
      <c r="A25" s="1" t="s">
        <v>361</v>
      </c>
      <c r="B25" t="s">
        <v>362</v>
      </c>
    </row>
    <row r="27" spans="1:6" ht="15.6" customHeight="1" x14ac:dyDescent="0.3">
      <c r="A27" s="34" t="s">
        <v>363</v>
      </c>
      <c r="B27" s="35"/>
      <c r="C27" s="35"/>
      <c r="D27" s="35"/>
      <c r="E27" s="35"/>
      <c r="F27" s="35"/>
    </row>
    <row r="28" spans="1:6" x14ac:dyDescent="0.3">
      <c r="A28" s="1" t="s">
        <v>364</v>
      </c>
      <c r="B28" t="s">
        <v>365</v>
      </c>
    </row>
    <row r="29" spans="1:6" x14ac:dyDescent="0.3">
      <c r="A29" s="1" t="s">
        <v>366</v>
      </c>
      <c r="B29" t="s">
        <v>367</v>
      </c>
    </row>
    <row r="30" spans="1:6" x14ac:dyDescent="0.3">
      <c r="A30" s="1" t="s">
        <v>368</v>
      </c>
      <c r="B30" t="s">
        <v>369</v>
      </c>
    </row>
    <row r="31" spans="1:6" x14ac:dyDescent="0.3">
      <c r="A31" s="1" t="s">
        <v>370</v>
      </c>
      <c r="B31" t="s">
        <v>371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2026-01-21T17:03:04Z</dcterms:modified>
</cp:coreProperties>
</file>